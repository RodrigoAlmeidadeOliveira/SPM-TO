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nuvem\Solange\viagem cuiaba\testes TO\SPM\"/>
    </mc:Choice>
  </mc:AlternateContent>
  <xr:revisionPtr revIDLastSave="0" documentId="13_ncr:1_{99872460-F72D-44E8-A6A2-9C9C176A2CE9}" xr6:coauthVersionLast="47" xr6:coauthVersionMax="47" xr10:uidLastSave="{00000000-0000-0000-0000-000000000000}"/>
  <bookViews>
    <workbookView xWindow="-108" yWindow="-108" windowWidth="23256" windowHeight="12576" activeTab="2" xr2:uid="{47C0CB37-81F9-4643-BEC3-AFD53EE52F64}"/>
  </bookViews>
  <sheets>
    <sheet name="Entrada de Dados" sheetId="1" r:id="rId1"/>
    <sheet name="Plano" sheetId="5" r:id="rId2"/>
    <sheet name="Gráfico" sheetId="3" r:id="rId3"/>
    <sheet name="TAB. REFERÊNCIA" sheetId="2" state="hidden" r:id="rId4"/>
  </sheets>
  <definedNames>
    <definedName name="_xlnm._FilterDatabase" localSheetId="0" hidden="1">'Entrada de Dados'!$C$72:$F$81</definedName>
    <definedName name="_xlnm._FilterDatabase" localSheetId="1" hidden="1">Plano!$B$2:$C$78</definedName>
    <definedName name="_xlnm.Print_Area" localSheetId="1">Plano!$B$2:$C$72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5" l="1" a="1"/>
  <c r="B73" i="5" s="1"/>
  <c r="B75" i="5" a="1"/>
  <c r="B75" i="5" s="1"/>
  <c r="B76" i="5" a="1"/>
  <c r="B76" i="5" s="1"/>
  <c r="C78" i="5"/>
  <c r="B78" i="5" s="1" a="1"/>
  <c r="B78" i="5" s="1"/>
  <c r="C79" i="5"/>
  <c r="B79" i="5" s="1" a="1"/>
  <c r="B79" i="5" s="1"/>
  <c r="C71" i="5"/>
  <c r="B71" i="5" s="1" a="1"/>
  <c r="B71" i="5" s="1"/>
  <c r="C72" i="5"/>
  <c r="B72" i="5" s="1" a="1"/>
  <c r="B72" i="5" s="1"/>
  <c r="C73" i="5"/>
  <c r="C74" i="5"/>
  <c r="B74" i="5" s="1" a="1"/>
  <c r="B74" i="5" s="1"/>
  <c r="C75" i="5"/>
  <c r="C76" i="5"/>
  <c r="C77" i="5"/>
  <c r="B77" i="5" s="1" a="1"/>
  <c r="B77" i="5" s="1"/>
  <c r="C70" i="5"/>
  <c r="D116" i="1"/>
  <c r="E116" i="1"/>
  <c r="F116" i="1"/>
  <c r="C116" i="1"/>
  <c r="D131" i="1"/>
  <c r="E131" i="1"/>
  <c r="F131" i="1"/>
  <c r="C131" i="1"/>
  <c r="C60" i="5"/>
  <c r="B60" i="5" s="1" a="1"/>
  <c r="B60" i="5" s="1"/>
  <c r="C61" i="5"/>
  <c r="C62" i="5"/>
  <c r="B62" i="5" s="1" a="1"/>
  <c r="B62" i="5" s="1"/>
  <c r="C63" i="5"/>
  <c r="B63" i="5" s="1" a="1"/>
  <c r="B63" i="5" s="1"/>
  <c r="C64" i="5"/>
  <c r="B64" i="5" s="1" a="1"/>
  <c r="B64" i="5" s="1"/>
  <c r="C65" i="5"/>
  <c r="B65" i="5" s="1" a="1"/>
  <c r="B65" i="5" s="1"/>
  <c r="C66" i="5"/>
  <c r="B66" i="5" s="1" a="1"/>
  <c r="B66" i="5" s="1"/>
  <c r="C67" i="5"/>
  <c r="B67" i="5" s="1" a="1"/>
  <c r="B67" i="5" s="1"/>
  <c r="C59" i="5"/>
  <c r="B59" i="5" s="1" a="1"/>
  <c r="B59" i="5" s="1"/>
  <c r="C51" i="5"/>
  <c r="C52" i="5"/>
  <c r="B52" i="5" s="1" a="1"/>
  <c r="B52" i="5" s="1"/>
  <c r="C53" i="5"/>
  <c r="B53" i="5" s="1" a="1"/>
  <c r="B53" i="5" s="1"/>
  <c r="C54" i="5"/>
  <c r="B54" i="5" s="1" a="1"/>
  <c r="B54" i="5" s="1"/>
  <c r="C55" i="5"/>
  <c r="B55" i="5" s="1" a="1"/>
  <c r="B55" i="5" s="1"/>
  <c r="C56" i="5"/>
  <c r="B56" i="5" s="1" a="1"/>
  <c r="B56" i="5" s="1"/>
  <c r="C50" i="5"/>
  <c r="B50" i="5" s="1" a="1"/>
  <c r="B50" i="5" s="1"/>
  <c r="C45" i="5"/>
  <c r="B45" i="5" s="1" a="1"/>
  <c r="B45" i="5" s="1"/>
  <c r="C46" i="5"/>
  <c r="C47" i="5"/>
  <c r="C44" i="5"/>
  <c r="B44" i="5" s="1" a="1"/>
  <c r="B44" i="5" s="1"/>
  <c r="C35" i="5"/>
  <c r="B35" i="5" s="1" a="1"/>
  <c r="B35" i="5" s="1"/>
  <c r="C36" i="5"/>
  <c r="B36" i="5" s="1" a="1"/>
  <c r="B36" i="5" s="1"/>
  <c r="C37" i="5"/>
  <c r="B37" i="5" s="1" a="1"/>
  <c r="B37" i="5" s="1"/>
  <c r="C38" i="5"/>
  <c r="B38" i="5" s="1" a="1"/>
  <c r="B38" i="5" s="1"/>
  <c r="C39" i="5"/>
  <c r="B39" i="5" s="1" a="1"/>
  <c r="B39" i="5" s="1"/>
  <c r="C40" i="5"/>
  <c r="B40" i="5" s="1" a="1"/>
  <c r="B40" i="5" s="1"/>
  <c r="C41" i="5"/>
  <c r="B41" i="5" s="1" a="1"/>
  <c r="B41" i="5" s="1"/>
  <c r="C34" i="5"/>
  <c r="B34" i="5" s="1" a="1"/>
  <c r="B34" i="5" s="1"/>
  <c r="C26" i="5"/>
  <c r="C27" i="5"/>
  <c r="B27" i="5" s="1" a="1"/>
  <c r="B27" i="5" s="1"/>
  <c r="C28" i="5"/>
  <c r="B28" i="5" s="1" a="1"/>
  <c r="B28" i="5" s="1"/>
  <c r="C29" i="5"/>
  <c r="B29" i="5" s="1" a="1"/>
  <c r="B29" i="5" s="1"/>
  <c r="C30" i="5"/>
  <c r="B30" i="5" s="1" a="1"/>
  <c r="B30" i="5" s="1"/>
  <c r="C31" i="5"/>
  <c r="B31" i="5" s="1" a="1"/>
  <c r="B31" i="5" s="1"/>
  <c r="C25" i="5"/>
  <c r="B25" i="5" s="1" a="1"/>
  <c r="B25" i="5" s="1"/>
  <c r="C17" i="5"/>
  <c r="B17" i="5" s="1" a="1"/>
  <c r="B17" i="5" s="1"/>
  <c r="C18" i="5"/>
  <c r="B18" i="5" s="1" a="1"/>
  <c r="B18" i="5" s="1"/>
  <c r="C19" i="5"/>
  <c r="B19" i="5" s="1" a="1"/>
  <c r="B19" i="5" s="1"/>
  <c r="C20" i="5"/>
  <c r="B20" i="5" s="1" a="1"/>
  <c r="B20" i="5" s="1"/>
  <c r="C21" i="5"/>
  <c r="B21" i="5" s="1" a="1"/>
  <c r="B21" i="5" s="1"/>
  <c r="C22" i="5"/>
  <c r="B22" i="5" s="1" a="1"/>
  <c r="B22" i="5" s="1"/>
  <c r="C16" i="5"/>
  <c r="B16" i="5" s="1" a="1"/>
  <c r="B16" i="5" s="1"/>
  <c r="C5" i="5"/>
  <c r="B5" i="5" s="1" a="1"/>
  <c r="B5" i="5" s="1"/>
  <c r="C6" i="5"/>
  <c r="B6" i="5" s="1" a="1"/>
  <c r="B6" i="5" s="1"/>
  <c r="C7" i="5"/>
  <c r="B7" i="5" s="1" a="1"/>
  <c r="B7" i="5" s="1"/>
  <c r="C8" i="5"/>
  <c r="B8" i="5" s="1" a="1"/>
  <c r="B8" i="5" s="1"/>
  <c r="C9" i="5"/>
  <c r="B9" i="5" s="1" a="1"/>
  <c r="B9" i="5" s="1"/>
  <c r="C10" i="5"/>
  <c r="B10" i="5" s="1" a="1"/>
  <c r="B10" i="5" s="1"/>
  <c r="C11" i="5"/>
  <c r="B11" i="5" s="1" a="1"/>
  <c r="B11" i="5" s="1"/>
  <c r="C12" i="5"/>
  <c r="B12" i="5" s="1" a="1"/>
  <c r="B12" i="5" s="1"/>
  <c r="C13" i="5"/>
  <c r="B13" i="5" s="1" a="1"/>
  <c r="B13" i="5" s="1"/>
  <c r="C4" i="5"/>
  <c r="B4" i="5" s="1" a="1"/>
  <c r="B4" i="5" s="1"/>
  <c r="B70" i="5" a="1"/>
  <c r="B70" i="5" s="1"/>
  <c r="B61" i="5" a="1"/>
  <c r="B61" i="5" s="1"/>
  <c r="B51" i="5" a="1"/>
  <c r="B51" i="5" s="1"/>
  <c r="B46" i="5" a="1"/>
  <c r="B46" i="5" s="1"/>
  <c r="B47" i="5" a="1"/>
  <c r="B47" i="5" s="1"/>
  <c r="B26" i="5" a="1"/>
  <c r="B26" i="5" s="1"/>
  <c r="I6" i="3"/>
  <c r="G131" i="1" l="1"/>
  <c r="H5" i="3" s="1"/>
  <c r="B15" i="5"/>
  <c r="B43" i="5"/>
  <c r="B24" i="5"/>
  <c r="B33" i="5"/>
  <c r="B69" i="5"/>
  <c r="B58" i="5"/>
  <c r="B49" i="5"/>
  <c r="B3" i="5"/>
  <c r="I7" i="3" l="1"/>
  <c r="I8" i="3"/>
  <c r="D102" i="1"/>
  <c r="E102" i="1"/>
  <c r="F102" i="1"/>
  <c r="C102" i="1"/>
  <c r="D90" i="1"/>
  <c r="E90" i="1"/>
  <c r="F90" i="1"/>
  <c r="C90" i="1"/>
  <c r="D81" i="1"/>
  <c r="E81" i="1"/>
  <c r="F81" i="1"/>
  <c r="C81" i="1"/>
  <c r="D68" i="1"/>
  <c r="E68" i="1"/>
  <c r="F68" i="1"/>
  <c r="C68" i="1"/>
  <c r="F56" i="1"/>
  <c r="E56" i="1"/>
  <c r="D56" i="1"/>
  <c r="C56" i="1"/>
  <c r="D44" i="1"/>
  <c r="E44" i="1"/>
  <c r="F44" i="1"/>
  <c r="C44" i="1"/>
  <c r="G81" i="1" l="1"/>
  <c r="E5" i="3" s="1"/>
  <c r="G44" i="1"/>
  <c r="B5" i="3" s="1"/>
  <c r="G116" i="1"/>
  <c r="G5" i="3" s="1"/>
  <c r="G56" i="1"/>
  <c r="C5" i="3" s="1"/>
  <c r="G68" i="1"/>
  <c r="D5" i="3" s="1"/>
  <c r="G90" i="1"/>
  <c r="G102" i="1"/>
  <c r="F5" i="3" s="1"/>
  <c r="I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<sst xmlns="http://schemas.openxmlformats.org/spreadsheetml/2006/main" count="341" uniqueCount="190">
  <si>
    <t>Informações Gerais</t>
  </si>
  <si>
    <t>Nome/No Identificação:</t>
  </si>
  <si>
    <t>Relacionamento com a criança:</t>
  </si>
  <si>
    <t>Data:</t>
  </si>
  <si>
    <t>Sexo da criança: M/F</t>
  </si>
  <si>
    <t>Idade: __ anos __ meses</t>
  </si>
  <si>
    <t>Raça/Etnia:</t>
  </si>
  <si>
    <t>Comentários sobre comportamento e funcionamento da criança:</t>
  </si>
  <si>
    <t>Categorias e Itens Avaliados</t>
  </si>
  <si>
    <t>1. Participação Social</t>
  </si>
  <si>
    <t>Esta criança:</t>
  </si>
  <si>
    <t>Nunca</t>
  </si>
  <si>
    <t>Ocasional</t>
  </si>
  <si>
    <t>Frequente</t>
  </si>
  <si>
    <t>Sempre</t>
  </si>
  <si>
    <t>2. Visão</t>
  </si>
  <si>
    <t>3. Audição</t>
  </si>
  <si>
    <t>4. Tato</t>
  </si>
  <si>
    <t>5. Olfato e Paladar</t>
  </si>
  <si>
    <t>6. Consciência Corporal</t>
  </si>
  <si>
    <t>7. Equilíbrio e Movimento</t>
  </si>
  <si>
    <t>8. Planejamento e Ideação</t>
  </si>
  <si>
    <t>SCORE</t>
  </si>
  <si>
    <t>%TILE</t>
  </si>
  <si>
    <t>T</t>
  </si>
  <si>
    <t>SOC</t>
  </si>
  <si>
    <t>VIS</t>
  </si>
  <si>
    <t>HEA</t>
  </si>
  <si>
    <t>TOU</t>
  </si>
  <si>
    <t>BOD</t>
  </si>
  <si>
    <t>BAL</t>
  </si>
  <si>
    <t>PLA</t>
  </si>
  <si>
    <t>TOT</t>
  </si>
  <si>
    <t>&gt;99</t>
  </si>
  <si>
    <t xml:space="preserve">VIS </t>
  </si>
  <si>
    <t>TOTAL</t>
  </si>
  <si>
    <t>35-44</t>
  </si>
  <si>
    <t>33-34</t>
  </si>
  <si>
    <t>28-29</t>
  </si>
  <si>
    <t>21-22</t>
  </si>
  <si>
    <t>10-11</t>
  </si>
  <si>
    <t>29-32</t>
  </si>
  <si>
    <t>37-44</t>
  </si>
  <si>
    <t>36-40</t>
  </si>
  <si>
    <t>33-36</t>
  </si>
  <si>
    <t>170-224</t>
  </si>
  <si>
    <t>27-28</t>
  </si>
  <si>
    <t>36</t>
  </si>
  <si>
    <t>34-35</t>
  </si>
  <si>
    <t>34</t>
  </si>
  <si>
    <t>164-169</t>
  </si>
  <si>
    <t>25</t>
  </si>
  <si>
    <t>33</t>
  </si>
  <si>
    <t>31-32</t>
  </si>
  <si>
    <t>30</t>
  </si>
  <si>
    <t>154-163</t>
  </si>
  <si>
    <t>23</t>
  </si>
  <si>
    <t>32</t>
  </si>
  <si>
    <t>29</t>
  </si>
  <si>
    <t>142-153</t>
  </si>
  <si>
    <t>22</t>
  </si>
  <si>
    <t>28</t>
  </si>
  <si>
    <t>137-139</t>
  </si>
  <si>
    <t>21</t>
  </si>
  <si>
    <t>30-31</t>
  </si>
  <si>
    <t>27</t>
  </si>
  <si>
    <t>133-136</t>
  </si>
  <si>
    <t>20</t>
  </si>
  <si>
    <t>24</t>
  </si>
  <si>
    <t>26</t>
  </si>
  <si>
    <t>129-130</t>
  </si>
  <si>
    <t>19</t>
  </si>
  <si>
    <t>18</t>
  </si>
  <si>
    <t>122-128</t>
  </si>
  <si>
    <t>17</t>
  </si>
  <si>
    <t>119-121</t>
  </si>
  <si>
    <t>16</t>
  </si>
  <si>
    <t>15</t>
  </si>
  <si>
    <t>110-115</t>
  </si>
  <si>
    <t>14</t>
  </si>
  <si>
    <t>106-109</t>
  </si>
  <si>
    <t>13</t>
  </si>
  <si>
    <t>12</t>
  </si>
  <si>
    <t>94-98</t>
  </si>
  <si>
    <t>11</t>
  </si>
  <si>
    <t>10</t>
  </si>
  <si>
    <t>84-87</t>
  </si>
  <si>
    <t>9</t>
  </si>
  <si>
    <t>81-83</t>
  </si>
  <si>
    <t>8</t>
  </si>
  <si>
    <t>79-80</t>
  </si>
  <si>
    <t>77-78</t>
  </si>
  <si>
    <t>75-76</t>
  </si>
  <si>
    <t>73-74</t>
  </si>
  <si>
    <t>71-72</t>
  </si>
  <si>
    <t>70</t>
  </si>
  <si>
    <t>69</t>
  </si>
  <si>
    <t>67-68</t>
  </si>
  <si>
    <t>23-24</t>
  </si>
  <si>
    <t>TÍPICO</t>
  </si>
  <si>
    <t>31</t>
  </si>
  <si>
    <t>29-30</t>
  </si>
  <si>
    <t>140-141</t>
  </si>
  <si>
    <t>131-132</t>
  </si>
  <si>
    <t>103-105</t>
  </si>
  <si>
    <t>99-102</t>
  </si>
  <si>
    <t>92-93</t>
  </si>
  <si>
    <t>89-91</t>
  </si>
  <si>
    <t>66</t>
  </si>
  <si>
    <t>65</t>
  </si>
  <si>
    <t>64</t>
  </si>
  <si>
    <t>63</t>
  </si>
  <si>
    <t>62</t>
  </si>
  <si>
    <t>61</t>
  </si>
  <si>
    <t>60</t>
  </si>
  <si>
    <t>59</t>
  </si>
  <si>
    <t>59-58</t>
  </si>
  <si>
    <t>PROVÁVEL DISFUNÇÃO</t>
  </si>
  <si>
    <t>DISFUNÇÃO DEFINITIVA</t>
  </si>
  <si>
    <t>Sensory Processing Measure</t>
  </si>
  <si>
    <r>
      <rPr>
        <b/>
        <sz val="12"/>
        <color theme="1"/>
        <rFont val="Aptos Narrow"/>
        <scheme val="minor"/>
      </rPr>
      <t xml:space="preserve">INSTRUÇÕES:  </t>
    </r>
    <r>
      <rPr>
        <sz val="12"/>
        <color theme="1"/>
        <rFont val="Aptos Narrow"/>
        <scheme val="minor"/>
      </rPr>
      <t xml:space="preserve">Por favor, responda as perguntas deste formulário com base no  comportamento típico da sua criança durante o mês passado. Use a seguinte escala de avaliação:
</t>
    </r>
    <r>
      <rPr>
        <b/>
        <sz val="12"/>
        <color theme="1"/>
        <rFont val="Aptos Narrow"/>
        <scheme val="minor"/>
      </rPr>
      <t>Nunca:</t>
    </r>
    <r>
      <rPr>
        <sz val="12"/>
        <color theme="1"/>
        <rFont val="Aptos Narrow"/>
        <scheme val="minor"/>
      </rPr>
      <t xml:space="preserve"> O comportamento nunca ou quase nunca acontece.       </t>
    </r>
    <r>
      <rPr>
        <b/>
        <sz val="12"/>
        <color theme="1"/>
        <rFont val="Aptos Narrow"/>
        <scheme val="minor"/>
      </rPr>
      <t>Frequentemente:</t>
    </r>
    <r>
      <rPr>
        <sz val="12"/>
        <color theme="1"/>
        <rFont val="Aptos Narrow"/>
        <scheme val="minor"/>
      </rPr>
      <t xml:space="preserve"> O comportamento ocorre grande parte do tempo.
   </t>
    </r>
    <r>
      <rPr>
        <b/>
        <sz val="12"/>
        <color theme="1"/>
        <rFont val="Aptos Narrow"/>
        <scheme val="minor"/>
      </rPr>
      <t xml:space="preserve">Ocasionalmente: </t>
    </r>
    <r>
      <rPr>
        <sz val="12"/>
        <color theme="1"/>
        <rFont val="Aptos Narrow"/>
        <scheme val="minor"/>
      </rPr>
      <t xml:space="preserve">O comportamento ocorre algumas vezes.       </t>
    </r>
    <r>
      <rPr>
        <b/>
        <sz val="12"/>
        <color theme="1"/>
        <rFont val="Aptos Narrow"/>
        <scheme val="minor"/>
      </rPr>
      <t xml:space="preserve">Sempre: </t>
    </r>
    <r>
      <rPr>
        <sz val="12"/>
        <color theme="1"/>
        <rFont val="Aptos Narrow"/>
        <scheme val="minor"/>
      </rPr>
      <t>A criança sempre ou quase sempre responde dessa maneira.
Circule uma das respostas que melhor descreve com que frequência o comportamento acontece. Faça o seu melhor para responder todas as questões. Várias questões perguntam se a criança se mostra desconfortável em determinadas situações. Mostrar-se desconfortável pode incluir expressões verbais (resmungar, chorar, gritar) ou expressões não verbais (afastar-se, gesticular, empurrar algo para longe, fugir, encolher-se, derrubar/arremessar objetos). Você poderá usar o espaço a esquerda para adicionar qualquer comentário sobre o comportamento ou funcionamento de sua criança.</t>
    </r>
  </si>
  <si>
    <t>PLANO</t>
  </si>
  <si>
    <t>ITEM</t>
  </si>
  <si>
    <t>1.Sabe trabalhar em grupo; é solícito com outros.</t>
  </si>
  <si>
    <t>2.Resolve conflitos com colegas sem a intervenção do professor.</t>
  </si>
  <si>
    <t>3.Lida com frustrações sem explosões ou comportamento agressivo.</t>
  </si>
  <si>
    <t>4.Participa espontaneamente com colegas em uma variedade de jogos e atividades.</t>
  </si>
  <si>
    <t>5.Participa da brincadeira sem interromper seu andamento.</t>
  </si>
  <si>
    <t>6.Tem amigos e escolhe estar com eles quando possível.</t>
  </si>
  <si>
    <t>7.Compreende e usa de humor quando brinca com amigos.</t>
  </si>
  <si>
    <t>8.Mantém apropriadamente seu "espaço pessoal" (não fica muito próximo quando conversa).</t>
  </si>
  <si>
    <t>9.Mantém contato visual apropriado durante a conversa.</t>
  </si>
  <si>
    <t>10.Muda os tópicos das conversas de acordo com o interesse dos colegas; não fica preso a um tópico só.</t>
  </si>
  <si>
    <t>11.Aperta, cobre os olhos ou reclama da claridade da sala de aula ou o brilho do sol.</t>
  </si>
  <si>
    <t>12.Fica incomodado com o movimento de objetos.</t>
  </si>
  <si>
    <t>13.Se distrai com estímulo visual próximo (figuras, objetos em estantes, janelas, outras crianças).</t>
  </si>
  <si>
    <t>14.Durante a instrução ou um anúncio, olha ao redor ou para os colegas ao invés de olhar para a pessoa que fala ou para o quadro negro.</t>
  </si>
  <si>
    <t>15.Gira ou movimenta subitamente objetos em frente aos olhos.</t>
  </si>
  <si>
    <t>16.Olha fixamente para pessoas ou objetos.</t>
  </si>
  <si>
    <t>17.Fica incomodado quando as luzes diminuem no cinema ou teatro.</t>
  </si>
  <si>
    <t>18.Se incomoda com sons altos (batidas de portas, furadeiras, apontador elétrico).</t>
  </si>
  <si>
    <t>19.Se incomoda com o som de música ou instrumentos musicais.</t>
  </si>
  <si>
    <t>20.Não responde a vozes ou novos sons.</t>
  </si>
  <si>
    <t>21.Não consegue determinar a localização de vozes ou sons.</t>
  </si>
  <si>
    <t>22.Faz barulhos, assobia, canta ou grita enquanto a classe está em silêncio.</t>
  </si>
  <si>
    <t>23.Fala muito alto ou faz muito barulho durante o recreio.</t>
  </si>
  <si>
    <t>24.Grita, berra ou produz barulhos incomuns sozinho.</t>
  </si>
  <si>
    <t>25.Fica incomodado quando as mãos ou rosto estão sujos (com cola, pintura a dedo, comida, sujeira, etc).</t>
  </si>
  <si>
    <t>26.Não tolera sujeira nas mãos ou na roupa, mesmo que brevemente.</t>
  </si>
  <si>
    <t>27.Demonstra desconforto  ao tocar determinadas texturas (materiais escolares, utensílios, equipamentos esportivos, etc.).</t>
  </si>
  <si>
    <t>28.Fica incomodado com o contato acidental dos amigos (pode revidar ou sair de perto).</t>
  </si>
  <si>
    <t>29.Não responde ao toque de outra pessoa.</t>
  </si>
  <si>
    <t>30.Procura pela temperatura quente ou fria ao tocar janela ou outras superfícies.</t>
  </si>
  <si>
    <t>31.Toca inapropriadamente os colegas durante a aula ou em fila.</t>
  </si>
  <si>
    <t>32.Não limpa a saliva ou o alimento do rosto.</t>
  </si>
  <si>
    <t>33.Se sente incomodado com o gosto e cheiro de comidas diferentes.</t>
  </si>
  <si>
    <t>34.Não percebe cheiros fortes ou diferentes (cola, tinta, marcadores de texto, etc.).</t>
  </si>
  <si>
    <t>35.Não consegue distinguir entre odores; não prefere cheiros bons aos ruins.</t>
  </si>
  <si>
    <t>36.Tenta "provar" ou lamber objetos ou pessoas.</t>
  </si>
  <si>
    <t>37.Derrama o conteúdo ao abrir um recipiente.</t>
  </si>
  <si>
    <t>38.Mastiga ou morde roupas, lápis, giz de cera ou materiais escolares.</t>
  </si>
  <si>
    <t>39.Move a cadeira bruscamente (empurra a cadeira para baixo da mesa ou puxa com muita força).</t>
  </si>
  <si>
    <t>40.Corre, pula ou salta ao invés de andar.</t>
  </si>
  <si>
    <t>41.Pisa forte ou bate os pés quando caminha.</t>
  </si>
  <si>
    <t>42.Pula ou pisa muito forte na escada.</t>
  </si>
  <si>
    <t>43.Abre ou fecha portas com força excessiva.</t>
  </si>
  <si>
    <t>44.Passa as mãos na parede quando está andando.</t>
  </si>
  <si>
    <t>45.Enrola as pernas nos pés da cadeira.</t>
  </si>
  <si>
    <t>46.Se balança na cadeira quando está sentado à mesa ou carteira.</t>
  </si>
  <si>
    <t>47.Fica inquieto quando está sentado à mesa ou carteira.</t>
  </si>
  <si>
    <t>48.Cai da cadeira quando sentado à mesa ou carteira.</t>
  </si>
  <si>
    <t>49.Se apoia em paredes, móveis ou em outras pessoas como suporte quando está em pé.</t>
  </si>
  <si>
    <t>50.Quando sentado no chão, não consegue se levantar  sem suporte.</t>
  </si>
  <si>
    <t>51.Se afunda, se inclina na carteira, apoia a cabeça com as mãos quando está sentado à mesa.</t>
  </si>
  <si>
    <t>52.Tem pouca coordenação motora; parece desajeitado.</t>
  </si>
  <si>
    <t>53.Não executa as tarefas diárias de forma consistente; a qualidade do trabalho varia muito.</t>
  </si>
  <si>
    <t>54.É incapaz de resolver problemas efetivamente.</t>
  </si>
  <si>
    <t>55.Se atrapalha ou deixa cair itens ao tentar transportar vários objetos.</t>
  </si>
  <si>
    <t>56.Não realiza tarefas na sequência apropriada.</t>
  </si>
  <si>
    <t>57.Falha ao completar tarefas que possuam várias etapas.</t>
  </si>
  <si>
    <t>58.Tem dificuldade ao imitar demonstrações corretamente (jogos com movimentos e músicas com sequência de movimentos).</t>
  </si>
  <si>
    <t>59.Tem dificuldade em completar tarefas a partir de um modelo apresentado.</t>
  </si>
  <si>
    <t>60.Demonstra limitada imaginação e criatividade nas brincadeiras e no recreio (como se fosse incapaz de criar novos jogos).</t>
  </si>
  <si>
    <t>61.Faz brincadeiras repetitivas durante o recreio; não expande ou altera sua atividade quando lhe é dada a oportunidade.</t>
  </si>
  <si>
    <t>62.Mostra pouca organização dos materiais na carteira, sobre ela ou em volta dela.</t>
  </si>
  <si>
    <t>39-40</t>
  </si>
  <si>
    <t>38</t>
  </si>
  <si>
    <t>37</t>
  </si>
  <si>
    <t>SCORES - SPM ESCOLA</t>
  </si>
  <si>
    <t>FILIPE MORAES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</si>
</sst>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FA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4" fillId="2" borderId="6" xfId="0" applyFont="1" applyFill="1" applyBorder="1"/>
    <xf numFmtId="0" fontId="4" fillId="3" borderId="6" xfId="0" applyFont="1" applyFill="1" applyBorder="1"/>
    <xf numFmtId="0" fontId="2" fillId="0" borderId="26" xfId="0" applyFont="1" applyBorder="1"/>
    <xf numFmtId="0" fontId="2" fillId="0" borderId="29" xfId="0" applyFont="1" applyBorder="1"/>
    <xf numFmtId="0" fontId="2" fillId="0" borderId="30" xfId="0" applyFont="1" applyBorder="1"/>
    <xf numFmtId="0" fontId="4" fillId="0" borderId="27" xfId="0" applyFont="1" applyBorder="1"/>
    <xf numFmtId="0" fontId="2" fillId="0" borderId="28" xfId="0" applyFont="1" applyBorder="1"/>
    <xf numFmtId="0" fontId="4" fillId="3" borderId="31" xfId="0" applyFont="1" applyFill="1" applyBorder="1"/>
    <xf numFmtId="0" fontId="2" fillId="0" borderId="33" xfId="0" applyFont="1" applyBorder="1"/>
    <xf numFmtId="0" fontId="0" fillId="0" borderId="32" xfId="0" applyBorder="1"/>
    <xf numFmtId="0" fontId="3" fillId="0" borderId="32" xfId="0" applyFont="1" applyBorder="1"/>
    <xf numFmtId="0" fontId="3" fillId="0" borderId="38" xfId="0" applyFont="1" applyBorder="1"/>
    <xf numFmtId="0" fontId="4" fillId="0" borderId="41" xfId="0" applyFont="1" applyBorder="1"/>
    <xf numFmtId="0" fontId="4" fillId="2" borderId="43" xfId="0" applyFont="1" applyFill="1" applyBorder="1"/>
    <xf numFmtId="0" fontId="4" fillId="0" borderId="44" xfId="0" applyFont="1" applyBorder="1"/>
    <xf numFmtId="0" fontId="2" fillId="0" borderId="32" xfId="0" applyFont="1" applyBorder="1"/>
    <xf numFmtId="0" fontId="4" fillId="2" borderId="46" xfId="0" applyFont="1" applyFill="1" applyBorder="1"/>
    <xf numFmtId="0" fontId="4" fillId="2" borderId="47" xfId="0" applyFont="1" applyFill="1" applyBorder="1"/>
    <xf numFmtId="0" fontId="4" fillId="0" borderId="48" xfId="0" applyFont="1" applyBorder="1"/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0" fillId="7" borderId="3" xfId="1" applyNumberFormat="1" applyFon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6" borderId="49" xfId="0" applyNumberFormat="1" applyFill="1" applyBorder="1" applyAlignment="1">
      <alignment horizontal="center" vertical="center"/>
    </xf>
    <xf numFmtId="0" fontId="0" fillId="0" borderId="48" xfId="0" applyBorder="1"/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0" xfId="0" applyFill="1"/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0" xfId="0" applyFill="1"/>
    <xf numFmtId="0" fontId="0" fillId="7" borderId="38" xfId="0" applyFill="1" applyBorder="1" applyAlignment="1">
      <alignment horizontal="center" vertical="center"/>
    </xf>
    <xf numFmtId="0" fontId="0" fillId="7" borderId="0" xfId="0" applyFill="1"/>
    <xf numFmtId="0" fontId="0" fillId="7" borderId="54" xfId="0" applyFill="1" applyBorder="1" applyAlignment="1">
      <alignment horizontal="center" vertical="center"/>
    </xf>
    <xf numFmtId="0" fontId="0" fillId="0" borderId="45" xfId="0" applyBorder="1"/>
    <xf numFmtId="0" fontId="3" fillId="0" borderId="3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0" fillId="6" borderId="32" xfId="0" applyFill="1" applyBorder="1"/>
    <xf numFmtId="0" fontId="0" fillId="3" borderId="32" xfId="0" applyFill="1" applyBorder="1"/>
    <xf numFmtId="0" fontId="0" fillId="7" borderId="45" xfId="0" applyFill="1" applyBorder="1"/>
    <xf numFmtId="0" fontId="3" fillId="6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4" borderId="4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6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/>
    </xf>
    <xf numFmtId="0" fontId="0" fillId="8" borderId="48" xfId="0" applyFill="1" applyBorder="1"/>
    <xf numFmtId="0" fontId="3" fillId="8" borderId="10" xfId="0" applyFont="1" applyFill="1" applyBorder="1" applyAlignment="1">
      <alignment horizontal="center"/>
    </xf>
    <xf numFmtId="0" fontId="4" fillId="0" borderId="6" xfId="0" applyFont="1" applyBorder="1"/>
    <xf numFmtId="0" fontId="4" fillId="0" borderId="57" xfId="0" applyFont="1" applyBorder="1" applyAlignment="1">
      <alignment horizontal="center" vertical="center"/>
    </xf>
    <xf numFmtId="0" fontId="2" fillId="0" borderId="77" xfId="0" applyFont="1" applyBorder="1"/>
    <xf numFmtId="0" fontId="2" fillId="0" borderId="38" xfId="0" applyFont="1" applyBorder="1"/>
    <xf numFmtId="0" fontId="3" fillId="9" borderId="6" xfId="0" applyFont="1" applyFill="1" applyBorder="1" applyAlignment="1">
      <alignment horizontal="center" vertical="center"/>
    </xf>
    <xf numFmtId="0" fontId="2" fillId="0" borderId="78" xfId="0" applyFont="1" applyBorder="1"/>
    <xf numFmtId="0" fontId="2" fillId="0" borderId="35" xfId="0" applyFont="1" applyBorder="1"/>
    <xf numFmtId="0" fontId="3" fillId="9" borderId="44" xfId="0" applyFont="1" applyFill="1" applyBorder="1" applyAlignment="1">
      <alignment horizontal="center" vertical="center"/>
    </xf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31" xfId="0" applyFont="1" applyFill="1" applyBorder="1"/>
    <xf numFmtId="0" fontId="4" fillId="0" borderId="31" xfId="0" applyFont="1" applyBorder="1"/>
    <xf numFmtId="0" fontId="0" fillId="0" borderId="2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38" xfId="0" applyFont="1" applyFill="1" applyBorder="1"/>
    <xf numFmtId="0" fontId="2" fillId="0" borderId="41" xfId="0" applyFont="1" applyBorder="1"/>
    <xf numFmtId="0" fontId="2" fillId="0" borderId="31" xfId="0" applyFont="1" applyBorder="1"/>
    <xf numFmtId="0" fontId="4" fillId="0" borderId="8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7" xfId="0" applyFont="1" applyFill="1" applyBorder="1"/>
    <xf numFmtId="0" fontId="4" fillId="2" borderId="28" xfId="0" applyFont="1" applyFill="1" applyBorder="1"/>
    <xf numFmtId="0" fontId="4" fillId="0" borderId="20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8" fillId="0" borderId="48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9" fillId="0" borderId="48" xfId="0" applyFont="1" applyBorder="1" applyAlignment="1">
      <alignment horizontal="left"/>
    </xf>
    <xf numFmtId="0" fontId="9" fillId="0" borderId="56" xfId="0" applyFont="1" applyBorder="1" applyAlignment="1">
      <alignment horizontal="left"/>
    </xf>
    <xf numFmtId="0" fontId="9" fillId="0" borderId="57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9" fillId="0" borderId="39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5" fillId="0" borderId="48" xfId="0" applyFont="1" applyBorder="1" applyAlignment="1">
      <alignment horizontal="left" vertical="top" wrapText="1"/>
    </xf>
    <xf numFmtId="0" fontId="5" fillId="0" borderId="56" xfId="0" applyFont="1" applyBorder="1" applyAlignment="1">
      <alignment horizontal="left" vertical="top" wrapText="1"/>
    </xf>
    <xf numFmtId="0" fontId="5" fillId="0" borderId="57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top"/>
    </xf>
    <xf numFmtId="0" fontId="4" fillId="0" borderId="63" xfId="0" applyFont="1" applyBorder="1" applyAlignment="1">
      <alignment horizontal="left" vertical="top"/>
    </xf>
    <xf numFmtId="0" fontId="4" fillId="0" borderId="6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3" fillId="4" borderId="48" xfId="0" applyFont="1" applyFill="1" applyBorder="1" applyAlignment="1">
      <alignment horizontal="center"/>
    </xf>
    <xf numFmtId="0" fontId="3" fillId="4" borderId="56" xfId="0" applyFont="1" applyFill="1" applyBorder="1" applyAlignment="1">
      <alignment horizontal="center"/>
    </xf>
    <xf numFmtId="0" fontId="3" fillId="4" borderId="5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8" fillId="0" borderId="44" xfId="0" applyFont="1" applyBorder="1" applyAlignment="1">
      <alignment horizontal="center" vertical="center" textRotation="90"/>
    </xf>
    <xf numFmtId="0" fontId="8" fillId="0" borderId="50" xfId="0" applyFont="1" applyBorder="1" applyAlignment="1">
      <alignment horizontal="center" vertical="center" textRotation="90"/>
    </xf>
    <xf numFmtId="0" fontId="8" fillId="0" borderId="47" xfId="0" applyFont="1" applyBorder="1" applyAlignment="1">
      <alignment horizontal="center" vertical="center" textRotation="90"/>
    </xf>
    <xf numFmtId="0" fontId="8" fillId="0" borderId="44" xfId="0" applyFont="1" applyBorder="1" applyAlignment="1">
      <alignment horizontal="center" vertical="center" textRotation="90" wrapText="1"/>
    </xf>
    <xf numFmtId="0" fontId="8" fillId="0" borderId="50" xfId="0" applyFont="1" applyBorder="1" applyAlignment="1">
      <alignment horizontal="center" vertical="center" textRotation="90" wrapText="1"/>
    </xf>
    <xf numFmtId="0" fontId="8" fillId="0" borderId="47" xfId="0" applyFont="1" applyBorder="1" applyAlignment="1">
      <alignment horizontal="center" vertical="center" textRotation="90" wrapText="1"/>
    </xf>
  </cellXfs>
  <cellStyles count="2">
    <cellStyle name="Comma" xfId="1" builtinId="3"/>
    <cellStyle name="Normal" xfId="0" builtinId="0"/>
  </cellStyles>
  <dxfs count="2">
    <dxf>
      <fill>
        <patternFill>
          <bgColor rgb="FFFF2600"/>
        </patternFill>
      </fill>
    </dxf>
    <dxf>
      <fill>
        <patternFill>
          <bgColor rgb="FFFF2600"/>
        </patternFill>
      </fill>
    </dxf>
  </dxfs>
  <tableStyles count="0" defaultTableStyle="TableStyleMedium2" defaultPivotStyle="PivotStyleLight16"/>
  <colors>
    <mruColors>
      <color rgb="FFFF2600"/>
      <color rgb="FFFFDFA3"/>
      <color rgb="FFEC9C9E"/>
      <color rgb="FFD27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>
        <c:manualLayout>
          <c:layoutTarget val="inner"/>
          <c:xMode val="edge"/>
          <c:yMode val="edge"/>
          <c:x val="0.20747149921258401"/>
          <c:y val="0.32141593258269141"/>
          <c:w val="0.61606360604284549"/>
          <c:h val="0.45640913277871631"/>
        </c:manualLayout>
      </c:layout>
      <c:lineChart>
        <c:grouping val="standard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FILIPE MORAES SILVA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DB4B-BC45-310574AE5843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32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19</c:v>
                </c:pt>
                <c:pt idx="5">
                  <c:v>22</c:v>
                </c:pt>
                <c:pt idx="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DB4B-BC45-310574AE5843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23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DB4B-BC45-310574AE5843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14</c:v>
                </c:pt>
                <c:pt idx="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6-DB4B-BC45-310574AE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166479"/>
        <c:axId val="813748159"/>
      </c:lineChart>
      <c:catAx>
        <c:axId val="11731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FILIPE MORAES SILVA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2F40-9C01-A1482958138A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32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19</c:v>
                </c:pt>
                <c:pt idx="5">
                  <c:v>22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2F40-9C01-A1482958138A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23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2F40-9C01-A1482958138A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14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3-2F40-9C01-A1482958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66479"/>
        <c:axId val="813748159"/>
      </c:radarChart>
      <c:catAx>
        <c:axId val="11731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4573841</xdr:colOff>
      <xdr:row>2</xdr:row>
      <xdr:rowOff>27608</xdr:rowOff>
    </xdr:from>
    <xdr:to>
      <xdr:col>1</xdr:col>
      <xdr:colOff>8144567</xdr:colOff>
      <xdr:row>6</xdr:row>
      <xdr:rowOff>165652</xdr:rowOff>
    </xdr:to>
    <xdr:sp macro="" textlink="">
      <xdr:nvSpPr>
        <xdr:cNvPr id="2" name="Caixa de texto 4">
          <a:extLst>
            <a:ext uri="{FF2B5EF4-FFF2-40B4-BE49-F238E27FC236}">
              <a16:creationId xmlns:a16="http://schemas.microsoft.com/office/drawing/2014/main" id="{FB6DE43B-8EFC-ABB0-7D1C-E2F195AB4FEB}"/>
            </a:ext>
          </a:extLst>
        </xdr:cNvPr>
        <xdr:cNvSpPr txBox="1">
          <a:spLocks/>
        </xdr:cNvSpPr>
      </xdr:nvSpPr>
      <xdr:spPr>
        <a:xfrm>
          <a:off x="5402102" y="230072"/>
          <a:ext cx="3570726" cy="94789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2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Pontuação do Formulário</a:t>
          </a: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L. Diane Parham, Ph.D., OTR/L, FAOTA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en-US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 Cheryl Ecker, M.A., OTR/L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pt-B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156450</xdr:colOff>
      <xdr:row>1</xdr:row>
      <xdr:rowOff>0</xdr:rowOff>
    </xdr:from>
    <xdr:to>
      <xdr:col>1</xdr:col>
      <xdr:colOff>2070652</xdr:colOff>
      <xdr:row>5</xdr:row>
      <xdr:rowOff>36811</xdr:rowOff>
    </xdr:to>
    <xdr:sp macro="" textlink="">
      <xdr:nvSpPr>
        <xdr:cNvPr id="3" name="Caixa de Texto 2">
          <a:extLst>
            <a:ext uri="{FF2B5EF4-FFF2-40B4-BE49-F238E27FC236}">
              <a16:creationId xmlns:a16="http://schemas.microsoft.com/office/drawing/2014/main" id="{957D7E11-9D76-14DD-039C-5278EE1DA530}"/>
            </a:ext>
          </a:extLst>
        </xdr:cNvPr>
        <xdr:cNvSpPr txBox="1">
          <a:spLocks noChangeArrowheads="1"/>
        </xdr:cNvSpPr>
      </xdr:nvSpPr>
      <xdr:spPr bwMode="auto">
        <a:xfrm>
          <a:off x="984711" y="0"/>
          <a:ext cx="1914202" cy="8466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pt-BR" sz="5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spm    </a:t>
          </a:r>
          <a:endParaRPr lang="en-B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220970</xdr:colOff>
      <xdr:row>1</xdr:row>
      <xdr:rowOff>34954</xdr:rowOff>
    </xdr:from>
    <xdr:to>
      <xdr:col>5</xdr:col>
      <xdr:colOff>248479</xdr:colOff>
      <xdr:row>5</xdr:row>
      <xdr:rowOff>193261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CB580D-8F7E-2C7C-7F98-B23FBC2B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" r="87733"/>
        <a:stretch>
          <a:fillRect/>
        </a:stretch>
      </xdr:blipFill>
      <xdr:spPr bwMode="auto">
        <a:xfrm>
          <a:off x="10362564" y="34954"/>
          <a:ext cx="1315915" cy="9681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306906</xdr:colOff>
      <xdr:row>1</xdr:row>
      <xdr:rowOff>125769</xdr:rowOff>
    </xdr:from>
    <xdr:to>
      <xdr:col>9</xdr:col>
      <xdr:colOff>658927</xdr:colOff>
      <xdr:row>6</xdr:row>
      <xdr:rowOff>55217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10E480-8A05-BCB4-49DF-C9C763A0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0964" y="337436"/>
          <a:ext cx="2118977" cy="941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431961</xdr:colOff>
      <xdr:row>9</xdr:row>
      <xdr:rowOff>95451</xdr:rowOff>
    </xdr:from>
    <xdr:to>
      <xdr:col>9</xdr:col>
      <xdr:colOff>592127</xdr:colOff>
      <xdr:row>26</xdr:row>
      <xdr:rowOff>24266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DA4CA-79B7-6BB5-1D69-EA472958F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441670</xdr:colOff>
      <xdr:row>27</xdr:row>
      <xdr:rowOff>150458</xdr:rowOff>
    </xdr:from>
    <xdr:to>
      <xdr:col>9</xdr:col>
      <xdr:colOff>596981</xdr:colOff>
      <xdr:row>41</xdr:row>
      <xdr:rowOff>43683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0F4F7-AAA8-D24A-9A17-C7B5F48F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96F7-CFD5-2E40-A514-9C6E408C2D8B}">
  <sheetPr>
    <pageSetUpPr fitToPage="1"/>
  </sheetPr>
  <dimension ref="B1:J981"/>
  <sheetViews>
    <sheetView topLeftCell="A108" zoomScale="78" zoomScaleNormal="78" workbookViewId="0">
      <selection activeCell="I132" sqref="I132"/>
    </sheetView>
  </sheetViews>
  <sheetFormatPr defaultColWidth="11.19921875" defaultRowHeight="15.6" x14ac:dyDescent="0.3"/>
  <cols>
    <col min="2" max="2" width="116.19921875" bestFit="1" customWidth="1"/>
    <col min="3" max="3" width="7.296875" bestFit="1" customWidth="1"/>
    <col min="4" max="5" width="8.5" bestFit="1" customWidth="1"/>
    <col min="6" max="6" width="6.796875" bestFit="1" customWidth="1"/>
    <col min="8" max="8" width="12.296875" bestFit="1" customWidth="1"/>
  </cols>
  <sheetData>
    <row r="1" spans="2:10" ht="16.2" thickBot="1" x14ac:dyDescent="0.35"/>
    <row r="2" spans="2:10" x14ac:dyDescent="0.3">
      <c r="B2" s="148" t="s">
        <v>119</v>
      </c>
      <c r="C2" s="149"/>
      <c r="D2" s="149"/>
      <c r="E2" s="149"/>
      <c r="F2" s="149"/>
      <c r="G2" s="149"/>
      <c r="H2" s="149"/>
      <c r="I2" s="149"/>
      <c r="J2" s="150"/>
    </row>
    <row r="3" spans="2:10" x14ac:dyDescent="0.3">
      <c r="B3" s="151"/>
      <c r="C3" s="152"/>
      <c r="D3" s="152"/>
      <c r="E3" s="152"/>
      <c r="F3" s="152"/>
      <c r="G3" s="152"/>
      <c r="H3" s="152"/>
      <c r="I3" s="152"/>
      <c r="J3" s="153"/>
    </row>
    <row r="4" spans="2:10" x14ac:dyDescent="0.3">
      <c r="B4" s="151"/>
      <c r="C4" s="152"/>
      <c r="D4" s="152"/>
      <c r="E4" s="152"/>
      <c r="F4" s="152"/>
      <c r="G4" s="152"/>
      <c r="H4" s="152"/>
      <c r="I4" s="152"/>
      <c r="J4" s="153"/>
    </row>
    <row r="5" spans="2:10" x14ac:dyDescent="0.3">
      <c r="B5" s="151"/>
      <c r="C5" s="152"/>
      <c r="D5" s="152"/>
      <c r="E5" s="152"/>
      <c r="F5" s="152"/>
      <c r="G5" s="152"/>
      <c r="H5" s="152"/>
      <c r="I5" s="152"/>
      <c r="J5" s="153"/>
    </row>
    <row r="6" spans="2:10" x14ac:dyDescent="0.3">
      <c r="B6" s="151"/>
      <c r="C6" s="152"/>
      <c r="D6" s="152"/>
      <c r="E6" s="152"/>
      <c r="F6" s="152"/>
      <c r="G6" s="152"/>
      <c r="H6" s="152"/>
      <c r="I6" s="152"/>
      <c r="J6" s="153"/>
    </row>
    <row r="7" spans="2:10" ht="16.2" thickBot="1" x14ac:dyDescent="0.35">
      <c r="B7" s="154"/>
      <c r="C7" s="155"/>
      <c r="D7" s="155"/>
      <c r="E7" s="155"/>
      <c r="F7" s="155"/>
      <c r="G7" s="155"/>
      <c r="H7" s="155"/>
      <c r="I7" s="155"/>
      <c r="J7" s="156"/>
    </row>
    <row r="8" spans="2:10" ht="16.2" thickBot="1" x14ac:dyDescent="0.35">
      <c r="B8" s="1"/>
      <c r="C8" s="1"/>
      <c r="D8" s="1"/>
      <c r="E8" s="1"/>
      <c r="F8" s="1"/>
      <c r="G8" s="1"/>
    </row>
    <row r="9" spans="2:10" x14ac:dyDescent="0.3">
      <c r="B9" s="139" t="s">
        <v>0</v>
      </c>
      <c r="C9" s="140"/>
      <c r="D9" s="140"/>
      <c r="E9" s="140"/>
      <c r="F9" s="140"/>
      <c r="G9" s="140"/>
      <c r="H9" s="140"/>
      <c r="I9" s="140"/>
      <c r="J9" s="141"/>
    </row>
    <row r="10" spans="2:10" x14ac:dyDescent="0.3">
      <c r="B10" s="142"/>
      <c r="C10" s="143"/>
      <c r="D10" s="143"/>
      <c r="E10" s="143"/>
      <c r="F10" s="143"/>
      <c r="G10" s="143"/>
      <c r="H10" s="143"/>
      <c r="I10" s="143"/>
      <c r="J10" s="144"/>
    </row>
    <row r="11" spans="2:10" x14ac:dyDescent="0.3">
      <c r="B11" s="136" t="s">
        <v>1</v>
      </c>
      <c r="C11" s="137"/>
      <c r="D11" s="137"/>
      <c r="E11" s="137"/>
      <c r="F11" s="137"/>
      <c r="G11" s="137"/>
      <c r="H11" s="137"/>
      <c r="I11" s="137"/>
      <c r="J11" s="138"/>
    </row>
    <row r="12" spans="2:10" x14ac:dyDescent="0.3">
      <c r="B12" s="136" t="s">
        <v>2</v>
      </c>
      <c r="C12" s="137"/>
      <c r="D12" s="137"/>
      <c r="E12" s="137"/>
      <c r="F12" s="137"/>
      <c r="G12" s="137"/>
      <c r="H12" s="137"/>
      <c r="I12" s="137"/>
      <c r="J12" s="138"/>
    </row>
    <row r="13" spans="2:10" x14ac:dyDescent="0.3">
      <c r="B13" s="136" t="s">
        <v>3</v>
      </c>
      <c r="C13" s="137"/>
      <c r="D13" s="137"/>
      <c r="E13" s="137"/>
      <c r="F13" s="137"/>
      <c r="G13" s="137"/>
      <c r="H13" s="137"/>
      <c r="I13" s="137"/>
      <c r="J13" s="138"/>
    </row>
    <row r="14" spans="2:10" x14ac:dyDescent="0.3">
      <c r="B14" s="136" t="s">
        <v>4</v>
      </c>
      <c r="C14" s="137"/>
      <c r="D14" s="137"/>
      <c r="E14" s="137"/>
      <c r="F14" s="137"/>
      <c r="G14" s="137"/>
      <c r="H14" s="137"/>
      <c r="I14" s="137"/>
      <c r="J14" s="138"/>
    </row>
    <row r="15" spans="2:10" x14ac:dyDescent="0.3">
      <c r="B15" s="136" t="s">
        <v>5</v>
      </c>
      <c r="C15" s="137"/>
      <c r="D15" s="137"/>
      <c r="E15" s="137"/>
      <c r="F15" s="137"/>
      <c r="G15" s="137"/>
      <c r="H15" s="137"/>
      <c r="I15" s="137"/>
      <c r="J15" s="138"/>
    </row>
    <row r="16" spans="2:10" x14ac:dyDescent="0.3">
      <c r="B16" s="136" t="s">
        <v>6</v>
      </c>
      <c r="C16" s="137"/>
      <c r="D16" s="137"/>
      <c r="E16" s="137"/>
      <c r="F16" s="137"/>
      <c r="G16" s="137"/>
      <c r="H16" s="137"/>
      <c r="I16" s="137"/>
      <c r="J16" s="138"/>
    </row>
    <row r="17" spans="2:10" x14ac:dyDescent="0.3">
      <c r="B17" s="172" t="s">
        <v>7</v>
      </c>
      <c r="C17" s="173"/>
      <c r="D17" s="173"/>
      <c r="E17" s="173"/>
      <c r="F17" s="173"/>
      <c r="G17" s="173"/>
      <c r="H17" s="173"/>
      <c r="I17" s="173"/>
      <c r="J17" s="174"/>
    </row>
    <row r="18" spans="2:10" ht="39" customHeight="1" thickBot="1" x14ac:dyDescent="0.35">
      <c r="B18" s="175"/>
      <c r="C18" s="176"/>
      <c r="D18" s="176"/>
      <c r="E18" s="176"/>
      <c r="F18" s="176"/>
      <c r="G18" s="176"/>
      <c r="H18" s="176"/>
      <c r="I18" s="176"/>
      <c r="J18" s="177"/>
    </row>
    <row r="19" spans="2:10" ht="19.05" customHeight="1" x14ac:dyDescent="0.3">
      <c r="B19" s="157" t="s">
        <v>120</v>
      </c>
      <c r="C19" s="158"/>
      <c r="D19" s="158"/>
      <c r="E19" s="158"/>
      <c r="F19" s="158"/>
      <c r="G19" s="158"/>
      <c r="H19" s="158"/>
      <c r="I19" s="158"/>
      <c r="J19" s="159"/>
    </row>
    <row r="20" spans="2:10" x14ac:dyDescent="0.3">
      <c r="B20" s="160"/>
      <c r="C20" s="161"/>
      <c r="D20" s="161"/>
      <c r="E20" s="161"/>
      <c r="F20" s="161"/>
      <c r="G20" s="161"/>
      <c r="H20" s="161"/>
      <c r="I20" s="161"/>
      <c r="J20" s="162"/>
    </row>
    <row r="21" spans="2:10" x14ac:dyDescent="0.3">
      <c r="B21" s="160"/>
      <c r="C21" s="161"/>
      <c r="D21" s="161"/>
      <c r="E21" s="161"/>
      <c r="F21" s="161"/>
      <c r="G21" s="161"/>
      <c r="H21" s="161"/>
      <c r="I21" s="161"/>
      <c r="J21" s="162"/>
    </row>
    <row r="22" spans="2:10" x14ac:dyDescent="0.3">
      <c r="B22" s="160"/>
      <c r="C22" s="161"/>
      <c r="D22" s="161"/>
      <c r="E22" s="161"/>
      <c r="F22" s="161"/>
      <c r="G22" s="161"/>
      <c r="H22" s="161"/>
      <c r="I22" s="161"/>
      <c r="J22" s="162"/>
    </row>
    <row r="23" spans="2:10" x14ac:dyDescent="0.3">
      <c r="B23" s="160"/>
      <c r="C23" s="161"/>
      <c r="D23" s="161"/>
      <c r="E23" s="161"/>
      <c r="F23" s="161"/>
      <c r="G23" s="161"/>
      <c r="H23" s="161"/>
      <c r="I23" s="161"/>
      <c r="J23" s="162"/>
    </row>
    <row r="24" spans="2:10" x14ac:dyDescent="0.3">
      <c r="B24" s="160"/>
      <c r="C24" s="161"/>
      <c r="D24" s="161"/>
      <c r="E24" s="161"/>
      <c r="F24" s="161"/>
      <c r="G24" s="161"/>
      <c r="H24" s="161"/>
      <c r="I24" s="161"/>
      <c r="J24" s="162"/>
    </row>
    <row r="25" spans="2:10" x14ac:dyDescent="0.3">
      <c r="B25" s="160"/>
      <c r="C25" s="161"/>
      <c r="D25" s="161"/>
      <c r="E25" s="161"/>
      <c r="F25" s="161"/>
      <c r="G25" s="161"/>
      <c r="H25" s="161"/>
      <c r="I25" s="161"/>
      <c r="J25" s="162"/>
    </row>
    <row r="26" spans="2:10" ht="16.2" thickBot="1" x14ac:dyDescent="0.35">
      <c r="B26" s="163"/>
      <c r="C26" s="164"/>
      <c r="D26" s="164"/>
      <c r="E26" s="164"/>
      <c r="F26" s="164"/>
      <c r="G26" s="164"/>
      <c r="H26" s="164"/>
      <c r="I26" s="164"/>
      <c r="J26" s="165"/>
    </row>
    <row r="28" spans="2:10" ht="16.2" thickBot="1" x14ac:dyDescent="0.35">
      <c r="B28" s="1"/>
      <c r="C28" s="1"/>
      <c r="D28" s="1"/>
      <c r="E28" s="1"/>
      <c r="F28" s="1"/>
      <c r="G28" s="1"/>
    </row>
    <row r="29" spans="2:10" x14ac:dyDescent="0.3">
      <c r="B29" s="166" t="s">
        <v>8</v>
      </c>
      <c r="C29" s="167"/>
      <c r="D29" s="167"/>
      <c r="E29" s="167"/>
      <c r="F29" s="168"/>
      <c r="G29" s="1"/>
    </row>
    <row r="30" spans="2:10" ht="16.2" thickBot="1" x14ac:dyDescent="0.35">
      <c r="B30" s="169"/>
      <c r="C30" s="170"/>
      <c r="D30" s="170"/>
      <c r="E30" s="170"/>
      <c r="F30" s="171"/>
      <c r="G30" s="1"/>
    </row>
    <row r="31" spans="2:10" ht="16.2" thickBot="1" x14ac:dyDescent="0.35">
      <c r="B31" s="145" t="s">
        <v>9</v>
      </c>
      <c r="C31" s="146"/>
      <c r="D31" s="146"/>
      <c r="E31" s="146"/>
      <c r="F31" s="147"/>
      <c r="G31" s="1"/>
    </row>
    <row r="32" spans="2:10" ht="16.2" thickBot="1" x14ac:dyDescent="0.35">
      <c r="B32" s="13"/>
      <c r="C32" s="100">
        <v>4</v>
      </c>
      <c r="D32" s="100">
        <v>3</v>
      </c>
      <c r="E32" s="100">
        <v>2</v>
      </c>
      <c r="F32" s="100">
        <v>1</v>
      </c>
      <c r="G32" s="1"/>
    </row>
    <row r="33" spans="2:8" ht="16.2" thickBot="1" x14ac:dyDescent="0.35">
      <c r="B33" s="21" t="s">
        <v>10</v>
      </c>
      <c r="C33" s="100" t="s">
        <v>11</v>
      </c>
      <c r="D33" s="100" t="s">
        <v>12</v>
      </c>
      <c r="E33" s="104" t="s">
        <v>13</v>
      </c>
      <c r="F33" s="105" t="s">
        <v>14</v>
      </c>
      <c r="G33" s="1"/>
    </row>
    <row r="34" spans="2:8" ht="16.8" thickTop="1" thickBot="1" x14ac:dyDescent="0.35">
      <c r="B34" s="17" t="s">
        <v>123</v>
      </c>
      <c r="C34" s="82" t="b">
        <v>0</v>
      </c>
      <c r="D34" s="92" t="b">
        <v>0</v>
      </c>
      <c r="E34" s="94" t="b">
        <v>0</v>
      </c>
      <c r="F34" s="93" t="b">
        <v>1</v>
      </c>
      <c r="G34" s="1"/>
    </row>
    <row r="35" spans="2:8" ht="16.8" thickTop="1" thickBot="1" x14ac:dyDescent="0.35">
      <c r="B35" s="8" t="s">
        <v>124</v>
      </c>
      <c r="C35" s="77" t="b">
        <v>0</v>
      </c>
      <c r="D35" s="91" t="b">
        <v>1</v>
      </c>
      <c r="E35" s="90" t="b">
        <v>0</v>
      </c>
      <c r="F35" s="83" t="b">
        <v>0</v>
      </c>
      <c r="G35" s="1"/>
    </row>
    <row r="36" spans="2:8" ht="16.8" thickTop="1" thickBot="1" x14ac:dyDescent="0.35">
      <c r="B36" s="8" t="s">
        <v>125</v>
      </c>
      <c r="C36" s="77" t="b">
        <v>0</v>
      </c>
      <c r="D36" s="91" t="b">
        <v>1</v>
      </c>
      <c r="E36" s="90" t="b">
        <v>0</v>
      </c>
      <c r="F36" s="78" t="b">
        <v>0</v>
      </c>
      <c r="G36" s="1"/>
      <c r="H36" s="99"/>
    </row>
    <row r="37" spans="2:8" ht="16.8" thickTop="1" thickBot="1" x14ac:dyDescent="0.35">
      <c r="B37" s="8" t="s">
        <v>126</v>
      </c>
      <c r="C37" s="77" t="b">
        <v>0</v>
      </c>
      <c r="D37" s="91" t="b">
        <v>0</v>
      </c>
      <c r="E37" s="90" t="b">
        <v>1</v>
      </c>
      <c r="F37" s="78" t="b">
        <v>0</v>
      </c>
      <c r="G37" s="1"/>
    </row>
    <row r="38" spans="2:8" ht="16.8" thickTop="1" thickBot="1" x14ac:dyDescent="0.35">
      <c r="B38" s="8" t="s">
        <v>127</v>
      </c>
      <c r="C38" s="77" t="b">
        <v>0</v>
      </c>
      <c r="D38" s="91" t="b">
        <v>1</v>
      </c>
      <c r="E38" s="90" t="b">
        <v>0</v>
      </c>
      <c r="F38" s="78" t="b">
        <v>0</v>
      </c>
      <c r="G38" s="1"/>
    </row>
    <row r="39" spans="2:8" ht="16.8" thickTop="1" thickBot="1" x14ac:dyDescent="0.35">
      <c r="B39" s="8" t="s">
        <v>128</v>
      </c>
      <c r="C39" s="77" t="b">
        <v>0</v>
      </c>
      <c r="D39" s="91" t="b">
        <v>0</v>
      </c>
      <c r="E39" s="90" t="b">
        <v>0</v>
      </c>
      <c r="F39" s="78" t="b">
        <v>1</v>
      </c>
      <c r="G39" s="1"/>
    </row>
    <row r="40" spans="2:8" ht="16.8" thickTop="1" thickBot="1" x14ac:dyDescent="0.35">
      <c r="B40" s="8" t="s">
        <v>129</v>
      </c>
      <c r="C40" s="77" t="b">
        <v>0</v>
      </c>
      <c r="D40" s="91" t="b">
        <v>0</v>
      </c>
      <c r="E40" s="90" t="b">
        <v>0</v>
      </c>
      <c r="F40" s="95" t="b">
        <v>1</v>
      </c>
      <c r="G40" s="1"/>
    </row>
    <row r="41" spans="2:8" ht="16.8" thickTop="1" thickBot="1" x14ac:dyDescent="0.35">
      <c r="B41" s="8" t="s">
        <v>130</v>
      </c>
      <c r="C41" s="77" t="b">
        <v>0</v>
      </c>
      <c r="D41" s="74" t="b">
        <v>0</v>
      </c>
      <c r="E41" s="96" t="b">
        <v>0</v>
      </c>
      <c r="F41" s="90" t="b">
        <v>1</v>
      </c>
      <c r="G41" s="1"/>
    </row>
    <row r="42" spans="2:8" ht="16.8" thickTop="1" thickBot="1" x14ac:dyDescent="0.35">
      <c r="B42" s="8" t="s">
        <v>131</v>
      </c>
      <c r="C42" s="77" t="b">
        <v>0</v>
      </c>
      <c r="D42" s="74" t="b">
        <v>0</v>
      </c>
      <c r="E42" s="98" t="b">
        <v>0</v>
      </c>
      <c r="F42" s="94" t="b">
        <v>1</v>
      </c>
      <c r="G42" s="1"/>
    </row>
    <row r="43" spans="2:8" ht="16.8" thickTop="1" thickBot="1" x14ac:dyDescent="0.35">
      <c r="B43" s="131" t="s">
        <v>132</v>
      </c>
      <c r="C43" s="77" t="b">
        <v>0</v>
      </c>
      <c r="D43" s="91" t="b">
        <v>0</v>
      </c>
      <c r="E43" s="90" t="b">
        <v>1</v>
      </c>
      <c r="F43" s="97" t="b">
        <v>0</v>
      </c>
      <c r="G43" s="1"/>
    </row>
    <row r="44" spans="2:8" ht="16.8" thickTop="1" thickBot="1" x14ac:dyDescent="0.35">
      <c r="B44" s="9" t="s">
        <v>22</v>
      </c>
      <c r="C44" s="25">
        <f>COUNTIF(C34:C43,"=true")*C32</f>
        <v>0</v>
      </c>
      <c r="D44" s="22">
        <f>COUNTIF(D34:D43,"=true")*D32</f>
        <v>9</v>
      </c>
      <c r="E44" s="22">
        <f>COUNTIF(E34:E43,"=true")*E32</f>
        <v>4</v>
      </c>
      <c r="F44" s="22">
        <f>COUNTIF(F34:F43,"=true")*F32</f>
        <v>5</v>
      </c>
      <c r="G44" s="10">
        <f>SUM(C44:F44)</f>
        <v>18</v>
      </c>
    </row>
    <row r="45" spans="2:8" ht="16.2" thickBot="1" x14ac:dyDescent="0.35">
      <c r="B45" s="1"/>
      <c r="C45" s="1"/>
      <c r="D45" s="1"/>
      <c r="E45" s="1"/>
      <c r="F45" s="1"/>
      <c r="G45" s="1"/>
    </row>
    <row r="46" spans="2:8" ht="16.2" thickBot="1" x14ac:dyDescent="0.35">
      <c r="B46" s="145" t="s">
        <v>15</v>
      </c>
      <c r="C46" s="146"/>
      <c r="D46" s="146"/>
      <c r="E46" s="146"/>
      <c r="F46" s="147"/>
      <c r="G46" s="1"/>
    </row>
    <row r="47" spans="2:8" ht="16.2" thickBot="1" x14ac:dyDescent="0.35">
      <c r="B47" s="24"/>
      <c r="C47" s="100">
        <v>1</v>
      </c>
      <c r="D47" s="100">
        <v>2</v>
      </c>
      <c r="E47" s="100">
        <v>3</v>
      </c>
      <c r="F47" s="100">
        <v>4</v>
      </c>
      <c r="G47" s="1"/>
    </row>
    <row r="48" spans="2:8" ht="16.2" thickBot="1" x14ac:dyDescent="0.35">
      <c r="B48" s="115" t="s">
        <v>10</v>
      </c>
      <c r="C48" s="103" t="s">
        <v>11</v>
      </c>
      <c r="D48" s="103" t="s">
        <v>12</v>
      </c>
      <c r="E48" s="103" t="s">
        <v>13</v>
      </c>
      <c r="F48" s="103" t="s">
        <v>14</v>
      </c>
      <c r="G48" s="1"/>
    </row>
    <row r="49" spans="2:7" ht="16.8" thickTop="1" thickBot="1" x14ac:dyDescent="0.35">
      <c r="B49" s="3" t="s">
        <v>133</v>
      </c>
      <c r="C49" s="90" t="b">
        <v>1</v>
      </c>
      <c r="D49" s="75" t="b">
        <v>0</v>
      </c>
      <c r="E49" s="75" t="b">
        <v>0</v>
      </c>
      <c r="F49" s="76" t="b">
        <v>0</v>
      </c>
      <c r="G49" s="1"/>
    </row>
    <row r="50" spans="2:7" ht="16.8" thickTop="1" thickBot="1" x14ac:dyDescent="0.35">
      <c r="B50" s="4" t="s">
        <v>134</v>
      </c>
      <c r="C50" s="90" t="b">
        <v>1</v>
      </c>
      <c r="D50" s="74" t="b">
        <v>0</v>
      </c>
      <c r="E50" s="74" t="b">
        <v>0</v>
      </c>
      <c r="F50" s="78" t="b">
        <v>0</v>
      </c>
      <c r="G50" s="1"/>
    </row>
    <row r="51" spans="2:7" ht="16.8" thickTop="1" thickBot="1" x14ac:dyDescent="0.35">
      <c r="B51" s="4" t="s">
        <v>135</v>
      </c>
      <c r="C51" s="90" t="b">
        <v>1</v>
      </c>
      <c r="D51" s="74" t="b">
        <v>0</v>
      </c>
      <c r="E51" s="74" t="b">
        <v>0</v>
      </c>
      <c r="F51" s="78" t="b">
        <v>0</v>
      </c>
      <c r="G51" s="1"/>
    </row>
    <row r="52" spans="2:7" ht="16.8" thickTop="1" thickBot="1" x14ac:dyDescent="0.35">
      <c r="B52" s="4" t="s">
        <v>136</v>
      </c>
      <c r="C52" s="90" t="b">
        <v>1</v>
      </c>
      <c r="D52" s="74" t="b">
        <v>0</v>
      </c>
      <c r="E52" s="74" t="b">
        <v>0</v>
      </c>
      <c r="F52" s="78" t="b">
        <v>0</v>
      </c>
      <c r="G52" s="1"/>
    </row>
    <row r="53" spans="2:7" ht="16.8" thickTop="1" thickBot="1" x14ac:dyDescent="0.35">
      <c r="B53" s="4" t="s">
        <v>137</v>
      </c>
      <c r="C53" s="90" t="b">
        <v>1</v>
      </c>
      <c r="D53" s="74" t="b">
        <v>0</v>
      </c>
      <c r="E53" s="74" t="b">
        <v>0</v>
      </c>
      <c r="F53" s="78" t="b">
        <v>0</v>
      </c>
      <c r="G53" s="1"/>
    </row>
    <row r="54" spans="2:7" ht="16.8" thickTop="1" thickBot="1" x14ac:dyDescent="0.35">
      <c r="B54" s="4" t="s">
        <v>138</v>
      </c>
      <c r="C54" s="90" t="b">
        <v>1</v>
      </c>
      <c r="D54" s="74" t="b">
        <v>0</v>
      </c>
      <c r="E54" s="74" t="b">
        <v>0</v>
      </c>
      <c r="F54" s="78" t="b">
        <v>0</v>
      </c>
      <c r="G54" s="1"/>
    </row>
    <row r="55" spans="2:7" ht="16.8" thickTop="1" thickBot="1" x14ac:dyDescent="0.35">
      <c r="B55" s="4" t="s">
        <v>139</v>
      </c>
      <c r="C55" s="90" t="b">
        <v>1</v>
      </c>
      <c r="D55" s="74" t="b">
        <v>0</v>
      </c>
      <c r="E55" s="74" t="b">
        <v>0</v>
      </c>
      <c r="F55" s="78" t="b">
        <v>0</v>
      </c>
      <c r="G55" s="1"/>
    </row>
    <row r="56" spans="2:7" ht="16.8" thickTop="1" thickBot="1" x14ac:dyDescent="0.35">
      <c r="B56" s="9" t="s">
        <v>22</v>
      </c>
      <c r="C56" s="25">
        <f>COUNTIF(C49:C55,"=true")*C47</f>
        <v>7</v>
      </c>
      <c r="D56" s="22">
        <f>COUNTIF(D49:D55,"=true")*D47</f>
        <v>0</v>
      </c>
      <c r="E56" s="22">
        <f>COUNTIF(E49:E55,"=true")*E47</f>
        <v>0</v>
      </c>
      <c r="F56" s="22">
        <f>COUNTIF(F49:F55,"=true")*F47</f>
        <v>0</v>
      </c>
      <c r="G56" s="10">
        <f>SUM(C56:F56)</f>
        <v>7</v>
      </c>
    </row>
    <row r="57" spans="2:7" ht="16.2" thickBot="1" x14ac:dyDescent="0.35">
      <c r="B57" s="1"/>
      <c r="C57" s="1"/>
      <c r="D57" s="1"/>
      <c r="E57" s="1"/>
      <c r="F57" s="1"/>
      <c r="G57" s="1"/>
    </row>
    <row r="58" spans="2:7" ht="16.2" thickBot="1" x14ac:dyDescent="0.35">
      <c r="B58" s="145" t="s">
        <v>16</v>
      </c>
      <c r="C58" s="146"/>
      <c r="D58" s="146"/>
      <c r="E58" s="146"/>
      <c r="F58" s="147"/>
      <c r="G58" s="1"/>
    </row>
    <row r="59" spans="2:7" ht="16.2" thickBot="1" x14ac:dyDescent="0.35">
      <c r="B59" s="18"/>
      <c r="C59" s="100">
        <v>1</v>
      </c>
      <c r="D59" s="100">
        <v>2</v>
      </c>
      <c r="E59" s="100">
        <v>3</v>
      </c>
      <c r="F59" s="100">
        <v>4</v>
      </c>
      <c r="G59" s="1"/>
    </row>
    <row r="60" spans="2:7" ht="16.2" thickBot="1" x14ac:dyDescent="0.35">
      <c r="B60" s="23" t="s">
        <v>10</v>
      </c>
      <c r="C60" s="103" t="s">
        <v>11</v>
      </c>
      <c r="D60" s="103" t="s">
        <v>12</v>
      </c>
      <c r="E60" s="103" t="s">
        <v>13</v>
      </c>
      <c r="F60" s="103" t="s">
        <v>14</v>
      </c>
      <c r="G60" s="1"/>
    </row>
    <row r="61" spans="2:7" ht="16.8" thickTop="1" thickBot="1" x14ac:dyDescent="0.35">
      <c r="B61" s="3" t="s">
        <v>140</v>
      </c>
      <c r="C61" s="94" t="b">
        <v>1</v>
      </c>
      <c r="D61" s="75" t="b">
        <v>0</v>
      </c>
      <c r="E61" s="75" t="b">
        <v>0</v>
      </c>
      <c r="F61" s="76" t="b">
        <v>0</v>
      </c>
      <c r="G61" s="1"/>
    </row>
    <row r="62" spans="2:7" ht="16.8" thickTop="1" thickBot="1" x14ac:dyDescent="0.35">
      <c r="B62" s="4" t="s">
        <v>141</v>
      </c>
      <c r="C62" s="94" t="b">
        <v>1</v>
      </c>
      <c r="D62" s="74" t="b">
        <v>0</v>
      </c>
      <c r="E62" s="74" t="b">
        <v>0</v>
      </c>
      <c r="F62" s="78" t="b">
        <v>0</v>
      </c>
      <c r="G62" s="1"/>
    </row>
    <row r="63" spans="2:7" ht="16.8" thickTop="1" thickBot="1" x14ac:dyDescent="0.35">
      <c r="B63" s="4" t="s">
        <v>142</v>
      </c>
      <c r="C63" s="94" t="b">
        <v>1</v>
      </c>
      <c r="D63" s="74" t="b">
        <v>0</v>
      </c>
      <c r="E63" s="74" t="b">
        <v>0</v>
      </c>
      <c r="F63" s="78" t="b">
        <v>0</v>
      </c>
      <c r="G63" s="1"/>
    </row>
    <row r="64" spans="2:7" ht="16.8" thickTop="1" thickBot="1" x14ac:dyDescent="0.35">
      <c r="B64" s="4" t="s">
        <v>143</v>
      </c>
      <c r="C64" s="94" t="b">
        <v>1</v>
      </c>
      <c r="D64" s="74" t="b">
        <v>0</v>
      </c>
      <c r="E64" s="74" t="b">
        <v>0</v>
      </c>
      <c r="F64" s="78" t="b">
        <v>0</v>
      </c>
      <c r="G64" s="1"/>
    </row>
    <row r="65" spans="2:7" ht="16.8" thickTop="1" thickBot="1" x14ac:dyDescent="0.35">
      <c r="B65" s="4" t="s">
        <v>144</v>
      </c>
      <c r="C65" s="94" t="b">
        <v>1</v>
      </c>
      <c r="D65" s="74" t="b">
        <v>0</v>
      </c>
      <c r="E65" s="74" t="b">
        <v>0</v>
      </c>
      <c r="F65" s="78" t="b">
        <v>0</v>
      </c>
      <c r="G65" s="1"/>
    </row>
    <row r="66" spans="2:7" ht="16.8" thickTop="1" thickBot="1" x14ac:dyDescent="0.35">
      <c r="B66" s="4" t="s">
        <v>145</v>
      </c>
      <c r="C66" s="94" t="b">
        <v>1</v>
      </c>
      <c r="D66" s="74" t="b">
        <v>0</v>
      </c>
      <c r="E66" s="74" t="b">
        <v>0</v>
      </c>
      <c r="F66" s="78" t="b">
        <v>0</v>
      </c>
      <c r="G66" s="1"/>
    </row>
    <row r="67" spans="2:7" ht="16.8" thickTop="1" thickBot="1" x14ac:dyDescent="0.35">
      <c r="B67" s="4" t="s">
        <v>146</v>
      </c>
      <c r="C67" s="94" t="b">
        <v>1</v>
      </c>
      <c r="D67" s="74" t="b">
        <v>0</v>
      </c>
      <c r="E67" s="74" t="b">
        <v>0</v>
      </c>
      <c r="F67" s="78" t="b">
        <v>0</v>
      </c>
      <c r="G67" s="1"/>
    </row>
    <row r="68" spans="2:7" ht="16.8" thickTop="1" thickBot="1" x14ac:dyDescent="0.35">
      <c r="B68" s="9" t="s">
        <v>22</v>
      </c>
      <c r="C68" s="25">
        <f>COUNTIF(C61:C67,"=true")*C59</f>
        <v>7</v>
      </c>
      <c r="D68" s="22">
        <f>COUNTIF(D61:D67,"=true")*D59</f>
        <v>0</v>
      </c>
      <c r="E68" s="22">
        <f>COUNTIF(E61:E67,"=true")*E59</f>
        <v>0</v>
      </c>
      <c r="F68" s="22">
        <f>COUNTIF(F61:F67,"=true")*F59</f>
        <v>0</v>
      </c>
      <c r="G68" s="16">
        <f>SUM(C68:F68)</f>
        <v>7</v>
      </c>
    </row>
    <row r="69" spans="2:7" ht="16.2" thickBot="1" x14ac:dyDescent="0.35">
      <c r="B69" s="1"/>
      <c r="C69" s="1"/>
      <c r="D69" s="1"/>
      <c r="E69" s="1"/>
      <c r="F69" s="1"/>
      <c r="G69" s="1"/>
    </row>
    <row r="70" spans="2:7" ht="16.2" thickBot="1" x14ac:dyDescent="0.35">
      <c r="B70" s="145" t="s">
        <v>17</v>
      </c>
      <c r="C70" s="146"/>
      <c r="D70" s="146"/>
      <c r="E70" s="146"/>
      <c r="F70" s="147"/>
      <c r="G70" s="1"/>
    </row>
    <row r="71" spans="2:7" ht="16.2" thickBot="1" x14ac:dyDescent="0.35">
      <c r="B71" s="24"/>
      <c r="C71" s="100">
        <v>1</v>
      </c>
      <c r="D71" s="100">
        <v>2</v>
      </c>
      <c r="E71" s="100">
        <v>3</v>
      </c>
      <c r="F71" s="100">
        <v>4</v>
      </c>
      <c r="G71" s="1"/>
    </row>
    <row r="72" spans="2:7" ht="16.2" thickBot="1" x14ac:dyDescent="0.35">
      <c r="B72" s="115" t="s">
        <v>10</v>
      </c>
      <c r="C72" s="116" t="s">
        <v>14</v>
      </c>
      <c r="D72" s="102" t="s">
        <v>13</v>
      </c>
      <c r="E72" s="102" t="s">
        <v>12</v>
      </c>
      <c r="F72" s="100" t="s">
        <v>11</v>
      </c>
      <c r="G72" s="1"/>
    </row>
    <row r="73" spans="2:7" ht="16.8" thickTop="1" thickBot="1" x14ac:dyDescent="0.35">
      <c r="B73" s="3" t="s">
        <v>147</v>
      </c>
      <c r="C73" s="111" t="b">
        <v>1</v>
      </c>
      <c r="D73" s="75" t="b">
        <v>0</v>
      </c>
      <c r="E73" s="75" t="b">
        <v>0</v>
      </c>
      <c r="F73" s="94" t="b">
        <v>0</v>
      </c>
      <c r="G73" s="1"/>
    </row>
    <row r="74" spans="2:7" ht="16.8" thickTop="1" thickBot="1" x14ac:dyDescent="0.35">
      <c r="B74" s="4" t="s">
        <v>148</v>
      </c>
      <c r="C74" s="81" t="b">
        <v>1</v>
      </c>
      <c r="D74" s="74" t="b">
        <v>0</v>
      </c>
      <c r="E74" s="74" t="b">
        <v>0</v>
      </c>
      <c r="F74" s="94" t="b">
        <v>0</v>
      </c>
      <c r="G74" s="1"/>
    </row>
    <row r="75" spans="2:7" ht="16.8" thickTop="1" thickBot="1" x14ac:dyDescent="0.35">
      <c r="B75" s="4" t="s">
        <v>149</v>
      </c>
      <c r="C75" s="81" t="b">
        <v>1</v>
      </c>
      <c r="D75" s="74" t="b">
        <v>0</v>
      </c>
      <c r="E75" s="74" t="b">
        <v>0</v>
      </c>
      <c r="F75" s="94" t="b">
        <v>0</v>
      </c>
      <c r="G75" s="1"/>
    </row>
    <row r="76" spans="2:7" ht="16.8" thickTop="1" thickBot="1" x14ac:dyDescent="0.35">
      <c r="B76" s="4" t="s">
        <v>150</v>
      </c>
      <c r="C76" s="81" t="b">
        <v>1</v>
      </c>
      <c r="D76" s="74" t="b">
        <v>0</v>
      </c>
      <c r="E76" s="74" t="b">
        <v>0</v>
      </c>
      <c r="F76" s="94" t="b">
        <v>0</v>
      </c>
      <c r="G76" s="1"/>
    </row>
    <row r="77" spans="2:7" ht="16.8" thickTop="1" thickBot="1" x14ac:dyDescent="0.35">
      <c r="B77" s="4" t="s">
        <v>151</v>
      </c>
      <c r="C77" s="81" t="b">
        <v>1</v>
      </c>
      <c r="D77" s="74" t="b">
        <v>0</v>
      </c>
      <c r="E77" s="74" t="b">
        <v>0</v>
      </c>
      <c r="F77" s="94" t="b">
        <v>0</v>
      </c>
      <c r="G77" s="1"/>
    </row>
    <row r="78" spans="2:7" ht="16.8" thickTop="1" thickBot="1" x14ac:dyDescent="0.35">
      <c r="B78" s="4" t="s">
        <v>152</v>
      </c>
      <c r="C78" s="81" t="b">
        <v>1</v>
      </c>
      <c r="D78" s="74" t="b">
        <v>0</v>
      </c>
      <c r="E78" s="74" t="b">
        <v>0</v>
      </c>
      <c r="F78" s="94" t="b">
        <v>0</v>
      </c>
      <c r="G78" s="1"/>
    </row>
    <row r="79" spans="2:7" ht="16.8" thickTop="1" thickBot="1" x14ac:dyDescent="0.35">
      <c r="B79" s="4" t="s">
        <v>153</v>
      </c>
      <c r="C79" s="81" t="b">
        <v>1</v>
      </c>
      <c r="D79" s="74" t="b">
        <v>0</v>
      </c>
      <c r="E79" s="74" t="b">
        <v>0</v>
      </c>
      <c r="F79" s="94" t="b">
        <v>0</v>
      </c>
      <c r="G79" s="1"/>
    </row>
    <row r="80" spans="2:7" ht="16.8" thickTop="1" thickBot="1" x14ac:dyDescent="0.35">
      <c r="B80" s="4" t="s">
        <v>154</v>
      </c>
      <c r="C80" s="81" t="b">
        <v>1</v>
      </c>
      <c r="D80" s="74" t="b">
        <v>0</v>
      </c>
      <c r="E80" s="74" t="b">
        <v>0</v>
      </c>
      <c r="F80" s="94" t="b">
        <v>0</v>
      </c>
      <c r="G80" s="1"/>
    </row>
    <row r="81" spans="2:7" ht="16.8" thickTop="1" thickBot="1" x14ac:dyDescent="0.35">
      <c r="B81" s="9" t="s">
        <v>22</v>
      </c>
      <c r="C81" s="25">
        <f>(COUNTIF(C73:C80,"=true")*C71)</f>
        <v>8</v>
      </c>
      <c r="D81" s="22">
        <f>(COUNTIF(D73:D80,"=true")*D71)</f>
        <v>0</v>
      </c>
      <c r="E81" s="22">
        <f>(COUNTIF(E73:E80,"=true")*E71)</f>
        <v>0</v>
      </c>
      <c r="F81" s="22">
        <f>(COUNTIF(F73:F80,"=true")*F71)</f>
        <v>0</v>
      </c>
      <c r="G81" s="10">
        <f>SUM(C81:F81)</f>
        <v>8</v>
      </c>
    </row>
    <row r="82" spans="2:7" ht="16.2" thickBot="1" x14ac:dyDescent="0.35">
      <c r="B82" s="1"/>
      <c r="G82" s="1"/>
    </row>
    <row r="83" spans="2:7" ht="16.2" thickBot="1" x14ac:dyDescent="0.35">
      <c r="B83" s="145" t="s">
        <v>18</v>
      </c>
      <c r="C83" s="146"/>
      <c r="D83" s="146"/>
      <c r="E83" s="146"/>
      <c r="F83" s="147"/>
      <c r="G83" s="1"/>
    </row>
    <row r="84" spans="2:7" ht="16.2" thickBot="1" x14ac:dyDescent="0.35">
      <c r="B84" s="11"/>
      <c r="C84" s="100">
        <v>1</v>
      </c>
      <c r="D84" s="100">
        <v>2</v>
      </c>
      <c r="E84" s="100">
        <v>3</v>
      </c>
      <c r="F84" s="100">
        <v>4</v>
      </c>
      <c r="G84" s="1"/>
    </row>
    <row r="85" spans="2:7" ht="16.2" thickBot="1" x14ac:dyDescent="0.35">
      <c r="B85" s="115" t="s">
        <v>10</v>
      </c>
      <c r="C85" s="103" t="s">
        <v>11</v>
      </c>
      <c r="D85" s="103" t="s">
        <v>12</v>
      </c>
      <c r="E85" s="103" t="s">
        <v>13</v>
      </c>
      <c r="F85" s="103" t="s">
        <v>14</v>
      </c>
      <c r="G85" s="1"/>
    </row>
    <row r="86" spans="2:7" ht="16.8" thickTop="1" thickBot="1" x14ac:dyDescent="0.35">
      <c r="B86" s="117" t="s">
        <v>155</v>
      </c>
      <c r="C86" s="81" t="b">
        <v>1</v>
      </c>
      <c r="D86" s="74" t="b">
        <v>0</v>
      </c>
      <c r="E86" s="74" t="b">
        <v>0</v>
      </c>
      <c r="F86" s="94" t="b">
        <v>0</v>
      </c>
      <c r="G86" s="1"/>
    </row>
    <row r="87" spans="2:7" ht="16.8" thickTop="1" thickBot="1" x14ac:dyDescent="0.35">
      <c r="B87" s="4" t="s">
        <v>156</v>
      </c>
      <c r="C87" s="81" t="b">
        <v>1</v>
      </c>
      <c r="D87" s="74" t="b">
        <v>0</v>
      </c>
      <c r="E87" s="74" t="b">
        <v>0</v>
      </c>
      <c r="F87" s="94" t="b">
        <v>0</v>
      </c>
      <c r="G87" s="1"/>
    </row>
    <row r="88" spans="2:7" ht="16.8" thickTop="1" thickBot="1" x14ac:dyDescent="0.35">
      <c r="B88" s="4" t="s">
        <v>157</v>
      </c>
      <c r="C88" s="81" t="b">
        <v>1</v>
      </c>
      <c r="D88" s="74" t="b">
        <v>0</v>
      </c>
      <c r="E88" s="74" t="b">
        <v>0</v>
      </c>
      <c r="F88" s="94" t="b">
        <v>0</v>
      </c>
      <c r="G88" s="1"/>
    </row>
    <row r="89" spans="2:7" ht="16.8" thickTop="1" thickBot="1" x14ac:dyDescent="0.35">
      <c r="B89" s="4" t="s">
        <v>158</v>
      </c>
      <c r="C89" s="81" t="b">
        <v>0</v>
      </c>
      <c r="D89" s="74" t="b">
        <v>0</v>
      </c>
      <c r="E89" s="74" t="b">
        <v>0</v>
      </c>
      <c r="F89" s="94" t="b">
        <v>0</v>
      </c>
      <c r="G89" s="1"/>
    </row>
    <row r="90" spans="2:7" ht="16.8" thickTop="1" thickBot="1" x14ac:dyDescent="0.35">
      <c r="B90" s="26" t="s">
        <v>22</v>
      </c>
      <c r="C90" s="25">
        <f>COUNTIF(C86:C89,"=true")*C84</f>
        <v>3</v>
      </c>
      <c r="D90" s="25">
        <f>COUNTIF(D86:D89,"=true")*D84</f>
        <v>0</v>
      </c>
      <c r="E90" s="25">
        <f>COUNTIF(E86:E89,"=true")*E84</f>
        <v>0</v>
      </c>
      <c r="F90" s="25">
        <f>COUNTIF(F86:F89,"=true")*F84</f>
        <v>0</v>
      </c>
      <c r="G90" s="16">
        <f>SUM(C90:F90)</f>
        <v>3</v>
      </c>
    </row>
    <row r="91" spans="2:7" ht="16.2" thickBot="1" x14ac:dyDescent="0.35">
      <c r="B91" s="1"/>
      <c r="C91" s="1"/>
      <c r="D91" s="1"/>
      <c r="E91" s="1"/>
      <c r="F91" s="1"/>
      <c r="G91" s="1"/>
    </row>
    <row r="92" spans="2:7" ht="16.2" thickBot="1" x14ac:dyDescent="0.35">
      <c r="B92" s="145" t="s">
        <v>19</v>
      </c>
      <c r="C92" s="146"/>
      <c r="D92" s="146"/>
      <c r="E92" s="146"/>
      <c r="F92" s="147"/>
      <c r="G92" s="1"/>
    </row>
    <row r="93" spans="2:7" ht="16.2" thickBot="1" x14ac:dyDescent="0.35">
      <c r="B93" s="24"/>
      <c r="C93" s="100">
        <v>1</v>
      </c>
      <c r="D93" s="100">
        <v>2</v>
      </c>
      <c r="E93" s="100">
        <v>3</v>
      </c>
      <c r="F93" s="100">
        <v>4</v>
      </c>
      <c r="G93" s="1"/>
    </row>
    <row r="94" spans="2:7" ht="16.2" thickBot="1" x14ac:dyDescent="0.35">
      <c r="B94" s="23" t="s">
        <v>10</v>
      </c>
      <c r="C94" s="101" t="s">
        <v>11</v>
      </c>
      <c r="D94" s="102" t="s">
        <v>12</v>
      </c>
      <c r="E94" s="102" t="s">
        <v>13</v>
      </c>
      <c r="F94" s="100" t="s">
        <v>14</v>
      </c>
      <c r="G94" s="1"/>
    </row>
    <row r="95" spans="2:7" ht="16.8" thickTop="1" thickBot="1" x14ac:dyDescent="0.35">
      <c r="B95" s="3" t="s">
        <v>159</v>
      </c>
      <c r="C95" s="73" t="b">
        <v>1</v>
      </c>
      <c r="D95" s="75" t="b">
        <v>0</v>
      </c>
      <c r="E95" s="75" t="b">
        <v>0</v>
      </c>
      <c r="F95" s="94" t="b">
        <v>0</v>
      </c>
      <c r="G95" s="1"/>
    </row>
    <row r="96" spans="2:7" ht="16.8" thickTop="1" thickBot="1" x14ac:dyDescent="0.35">
      <c r="B96" s="4" t="s">
        <v>160</v>
      </c>
      <c r="C96" s="77" t="b">
        <v>0</v>
      </c>
      <c r="D96" s="74" t="b">
        <v>1</v>
      </c>
      <c r="E96" s="74" t="b">
        <v>0</v>
      </c>
      <c r="F96" s="94" t="b">
        <v>0</v>
      </c>
      <c r="G96" s="1"/>
    </row>
    <row r="97" spans="2:7" ht="16.8" thickTop="1" thickBot="1" x14ac:dyDescent="0.35">
      <c r="B97" s="4" t="s">
        <v>161</v>
      </c>
      <c r="C97" s="77" t="b">
        <v>1</v>
      </c>
      <c r="D97" s="74" t="b">
        <v>0</v>
      </c>
      <c r="E97" s="74" t="b">
        <v>0</v>
      </c>
      <c r="F97" s="94" t="b">
        <v>0</v>
      </c>
      <c r="G97" s="1"/>
    </row>
    <row r="98" spans="2:7" ht="16.8" thickTop="1" thickBot="1" x14ac:dyDescent="0.35">
      <c r="B98" s="4" t="s">
        <v>162</v>
      </c>
      <c r="C98" s="77" t="b">
        <v>1</v>
      </c>
      <c r="D98" s="74" t="b">
        <v>0</v>
      </c>
      <c r="E98" s="74" t="b">
        <v>0</v>
      </c>
      <c r="F98" s="94" t="b">
        <v>0</v>
      </c>
      <c r="G98" s="1"/>
    </row>
    <row r="99" spans="2:7" ht="16.8" thickTop="1" thickBot="1" x14ac:dyDescent="0.35">
      <c r="B99" s="4" t="s">
        <v>163</v>
      </c>
      <c r="C99" s="77" t="b">
        <v>1</v>
      </c>
      <c r="D99" s="74" t="b">
        <v>0</v>
      </c>
      <c r="E99" s="74" t="b">
        <v>0</v>
      </c>
      <c r="F99" s="94" t="b">
        <v>0</v>
      </c>
      <c r="G99" s="1"/>
    </row>
    <row r="100" spans="2:7" ht="16.8" thickTop="1" thickBot="1" x14ac:dyDescent="0.35">
      <c r="B100" s="4" t="s">
        <v>164</v>
      </c>
      <c r="C100" s="77" t="b">
        <v>1</v>
      </c>
      <c r="D100" s="74" t="b">
        <v>0</v>
      </c>
      <c r="E100" s="74" t="b">
        <v>0</v>
      </c>
      <c r="F100" s="94" t="b">
        <v>0</v>
      </c>
      <c r="G100" s="1"/>
    </row>
    <row r="101" spans="2:7" ht="16.8" thickTop="1" thickBot="1" x14ac:dyDescent="0.35">
      <c r="B101" s="4" t="s">
        <v>165</v>
      </c>
      <c r="C101" s="77" t="b">
        <v>1</v>
      </c>
      <c r="D101" s="74" t="b">
        <v>0</v>
      </c>
      <c r="E101" s="74" t="b">
        <v>0</v>
      </c>
      <c r="F101" s="94" t="b">
        <v>0</v>
      </c>
      <c r="G101" s="1"/>
    </row>
    <row r="102" spans="2:7" ht="16.8" thickTop="1" thickBot="1" x14ac:dyDescent="0.35">
      <c r="B102" s="26" t="s">
        <v>22</v>
      </c>
      <c r="C102" s="22">
        <f>COUNTIF(C95:C101,"=true")*C93</f>
        <v>6</v>
      </c>
      <c r="D102" s="22">
        <f>COUNTIF(D95:D101,"=true")*D93</f>
        <v>2</v>
      </c>
      <c r="E102" s="22">
        <f>COUNTIF(E95:E101,"=true")*E93</f>
        <v>0</v>
      </c>
      <c r="F102" s="22">
        <f>COUNTIF(F95:F101,"=true")*F93</f>
        <v>0</v>
      </c>
      <c r="G102" s="10">
        <f>SUM(C102:F102)</f>
        <v>8</v>
      </c>
    </row>
    <row r="103" spans="2:7" ht="16.2" thickBot="1" x14ac:dyDescent="0.35">
      <c r="B103" s="1"/>
      <c r="C103" s="1"/>
      <c r="D103" s="1"/>
      <c r="E103" s="1"/>
      <c r="F103" s="1"/>
      <c r="G103" s="1"/>
    </row>
    <row r="104" spans="2:7" ht="16.2" thickBot="1" x14ac:dyDescent="0.35">
      <c r="B104" s="145" t="s">
        <v>20</v>
      </c>
      <c r="C104" s="146"/>
      <c r="D104" s="146"/>
      <c r="E104" s="146"/>
      <c r="F104" s="147"/>
      <c r="G104" s="1"/>
    </row>
    <row r="105" spans="2:7" ht="16.2" thickBot="1" x14ac:dyDescent="0.35">
      <c r="B105" s="24"/>
      <c r="C105" s="100">
        <v>1</v>
      </c>
      <c r="D105" s="100">
        <v>2</v>
      </c>
      <c r="E105" s="100">
        <v>3</v>
      </c>
      <c r="F105" s="100">
        <v>4</v>
      </c>
      <c r="G105" s="1"/>
    </row>
    <row r="106" spans="2:7" ht="16.2" thickBot="1" x14ac:dyDescent="0.35">
      <c r="B106" s="27" t="s">
        <v>10</v>
      </c>
      <c r="C106" s="100" t="s">
        <v>11</v>
      </c>
      <c r="D106" s="100" t="s">
        <v>12</v>
      </c>
      <c r="E106" s="100" t="s">
        <v>13</v>
      </c>
      <c r="F106" s="100" t="s">
        <v>14</v>
      </c>
      <c r="G106" s="1"/>
    </row>
    <row r="107" spans="2:7" ht="16.8" thickTop="1" thickBot="1" x14ac:dyDescent="0.35">
      <c r="B107" s="3" t="s">
        <v>166</v>
      </c>
      <c r="C107" s="73" t="b">
        <v>1</v>
      </c>
      <c r="D107" s="75" t="b">
        <v>0</v>
      </c>
      <c r="E107" s="75" t="b">
        <v>0</v>
      </c>
      <c r="F107" s="94" t="b">
        <v>0</v>
      </c>
      <c r="G107" s="1"/>
    </row>
    <row r="108" spans="2:7" ht="16.8" thickTop="1" thickBot="1" x14ac:dyDescent="0.35">
      <c r="B108" s="4" t="s">
        <v>167</v>
      </c>
      <c r="C108" s="77" t="b">
        <v>0</v>
      </c>
      <c r="D108" s="74" t="b">
        <v>1</v>
      </c>
      <c r="E108" s="74" t="b">
        <v>0</v>
      </c>
      <c r="F108" s="94" t="b">
        <v>0</v>
      </c>
      <c r="G108" s="1"/>
    </row>
    <row r="109" spans="2:7" ht="16.8" thickTop="1" thickBot="1" x14ac:dyDescent="0.35">
      <c r="B109" s="4" t="s">
        <v>168</v>
      </c>
      <c r="C109" s="77" t="b">
        <v>0</v>
      </c>
      <c r="D109" s="74" t="b">
        <v>1</v>
      </c>
      <c r="E109" s="74" t="b">
        <v>0</v>
      </c>
      <c r="F109" s="94" t="b">
        <v>0</v>
      </c>
      <c r="G109" s="1"/>
    </row>
    <row r="110" spans="2:7" ht="16.8" thickTop="1" thickBot="1" x14ac:dyDescent="0.35">
      <c r="B110" s="4" t="s">
        <v>169</v>
      </c>
      <c r="C110" s="77" t="b">
        <v>0</v>
      </c>
      <c r="D110" s="74" t="b">
        <v>1</v>
      </c>
      <c r="E110" s="74" t="b">
        <v>0</v>
      </c>
      <c r="F110" s="94" t="b">
        <v>0</v>
      </c>
      <c r="G110" s="1"/>
    </row>
    <row r="111" spans="2:7" ht="16.8" thickTop="1" thickBot="1" x14ac:dyDescent="0.35">
      <c r="B111" s="4" t="s">
        <v>170</v>
      </c>
      <c r="C111" s="77" t="b">
        <v>1</v>
      </c>
      <c r="D111" s="74" t="b">
        <v>0</v>
      </c>
      <c r="E111" s="74" t="b">
        <v>0</v>
      </c>
      <c r="F111" s="94" t="b">
        <v>0</v>
      </c>
      <c r="G111" s="1"/>
    </row>
    <row r="112" spans="2:7" ht="16.8" thickTop="1" thickBot="1" x14ac:dyDescent="0.35">
      <c r="B112" s="4" t="s">
        <v>171</v>
      </c>
      <c r="C112" s="77" t="b">
        <v>1</v>
      </c>
      <c r="D112" s="74" t="b">
        <v>0</v>
      </c>
      <c r="E112" s="74" t="b">
        <v>0</v>
      </c>
      <c r="F112" s="94" t="b">
        <v>0</v>
      </c>
      <c r="G112" s="1"/>
    </row>
    <row r="113" spans="2:7" ht="16.8" thickTop="1" thickBot="1" x14ac:dyDescent="0.35">
      <c r="B113" s="4" t="s">
        <v>172</v>
      </c>
      <c r="C113" s="77" t="b">
        <v>1</v>
      </c>
      <c r="D113" s="74" t="b">
        <v>0</v>
      </c>
      <c r="E113" s="74" t="b">
        <v>0</v>
      </c>
      <c r="F113" s="94" t="b">
        <v>0</v>
      </c>
      <c r="G113" s="1"/>
    </row>
    <row r="114" spans="2:7" ht="16.8" thickTop="1" thickBot="1" x14ac:dyDescent="0.35">
      <c r="B114" s="4" t="s">
        <v>173</v>
      </c>
      <c r="C114" s="77" t="b">
        <v>1</v>
      </c>
      <c r="D114" s="74" t="b">
        <v>0</v>
      </c>
      <c r="E114" s="74" t="b">
        <v>0</v>
      </c>
      <c r="F114" s="94" t="b">
        <v>0</v>
      </c>
      <c r="G114" s="1"/>
    </row>
    <row r="115" spans="2:7" ht="16.8" thickTop="1" thickBot="1" x14ac:dyDescent="0.35">
      <c r="B115" s="4" t="s">
        <v>174</v>
      </c>
      <c r="C115" s="79" t="b">
        <v>1</v>
      </c>
      <c r="D115" s="80" t="b">
        <v>0</v>
      </c>
      <c r="E115" s="80" t="b">
        <v>0</v>
      </c>
      <c r="F115" s="94" t="b">
        <v>0</v>
      </c>
      <c r="G115" s="1"/>
    </row>
    <row r="116" spans="2:7" ht="16.2" thickBot="1" x14ac:dyDescent="0.35">
      <c r="B116" s="9" t="s">
        <v>22</v>
      </c>
      <c r="C116" s="22">
        <f>COUNTIF(C107:C115,"=true")*C105</f>
        <v>6</v>
      </c>
      <c r="D116" s="22">
        <f t="shared" ref="D116:F116" si="0">COUNTIF(D107:D115,"=true")*D105</f>
        <v>6</v>
      </c>
      <c r="E116" s="22">
        <f t="shared" si="0"/>
        <v>0</v>
      </c>
      <c r="F116" s="22">
        <f t="shared" si="0"/>
        <v>0</v>
      </c>
      <c r="G116" s="10">
        <f>SUM(C116:F116)</f>
        <v>12</v>
      </c>
    </row>
    <row r="117" spans="2:7" ht="16.2" thickBot="1" x14ac:dyDescent="0.35">
      <c r="B117" s="1"/>
      <c r="C117" s="1"/>
      <c r="D117" s="1"/>
      <c r="E117" s="1"/>
      <c r="F117" s="1"/>
      <c r="G117" s="1"/>
    </row>
    <row r="118" spans="2:7" ht="16.2" thickBot="1" x14ac:dyDescent="0.35">
      <c r="B118" s="14" t="s">
        <v>21</v>
      </c>
      <c r="C118" s="15"/>
      <c r="D118" s="12"/>
      <c r="E118" s="6"/>
      <c r="F118" s="7"/>
      <c r="G118" s="1"/>
    </row>
    <row r="119" spans="2:7" ht="16.2" thickBot="1" x14ac:dyDescent="0.35">
      <c r="B119" s="24"/>
      <c r="C119" s="100">
        <v>1</v>
      </c>
      <c r="D119" s="100">
        <v>2</v>
      </c>
      <c r="E119" s="100">
        <v>3</v>
      </c>
      <c r="F119" s="100">
        <v>4</v>
      </c>
      <c r="G119" s="1"/>
    </row>
    <row r="120" spans="2:7" ht="16.2" thickBot="1" x14ac:dyDescent="0.35">
      <c r="B120" s="23" t="s">
        <v>10</v>
      </c>
      <c r="C120" s="106" t="s">
        <v>11</v>
      </c>
      <c r="D120" s="107" t="s">
        <v>12</v>
      </c>
      <c r="E120" s="107" t="s">
        <v>13</v>
      </c>
      <c r="F120" s="108" t="s">
        <v>14</v>
      </c>
      <c r="G120" s="1"/>
    </row>
    <row r="121" spans="2:7" ht="16.8" thickTop="1" thickBot="1" x14ac:dyDescent="0.35">
      <c r="B121" s="3" t="s">
        <v>175</v>
      </c>
      <c r="C121" s="111" t="b">
        <v>1</v>
      </c>
      <c r="D121" s="75" t="b">
        <v>0</v>
      </c>
      <c r="E121" s="94" t="b">
        <v>0</v>
      </c>
      <c r="F121" s="76" t="b">
        <v>0</v>
      </c>
      <c r="G121" s="1"/>
    </row>
    <row r="122" spans="2:7" ht="16.8" thickTop="1" thickBot="1" x14ac:dyDescent="0.35">
      <c r="B122" s="4" t="s">
        <v>176</v>
      </c>
      <c r="C122" s="81" t="b">
        <v>1</v>
      </c>
      <c r="D122" s="74" t="b">
        <v>0</v>
      </c>
      <c r="E122" s="74" t="b">
        <v>0</v>
      </c>
      <c r="F122" s="94" t="b">
        <v>0</v>
      </c>
      <c r="G122" s="1"/>
    </row>
    <row r="123" spans="2:7" ht="16.8" thickTop="1" thickBot="1" x14ac:dyDescent="0.35">
      <c r="B123" s="4" t="s">
        <v>177</v>
      </c>
      <c r="C123" s="81" t="b">
        <v>1</v>
      </c>
      <c r="D123" s="74" t="b">
        <v>0</v>
      </c>
      <c r="E123" s="74" t="b">
        <v>0</v>
      </c>
      <c r="F123" s="94" t="b">
        <v>0</v>
      </c>
      <c r="G123" s="1"/>
    </row>
    <row r="124" spans="2:7" ht="16.8" thickTop="1" thickBot="1" x14ac:dyDescent="0.35">
      <c r="B124" s="4" t="s">
        <v>178</v>
      </c>
      <c r="C124" s="81" t="b">
        <v>1</v>
      </c>
      <c r="D124" s="74" t="b">
        <v>0</v>
      </c>
      <c r="E124" s="74" t="b">
        <v>0</v>
      </c>
      <c r="F124" s="109" t="b">
        <v>0</v>
      </c>
      <c r="G124" s="1"/>
    </row>
    <row r="125" spans="2:7" ht="16.8" thickTop="1" thickBot="1" x14ac:dyDescent="0.35">
      <c r="B125" s="4" t="s">
        <v>179</v>
      </c>
      <c r="C125" s="81" t="b">
        <v>1</v>
      </c>
      <c r="D125" s="74" t="b">
        <v>0</v>
      </c>
      <c r="E125" s="94" t="b">
        <v>0</v>
      </c>
      <c r="F125" s="93" t="b">
        <v>0</v>
      </c>
      <c r="G125" s="1"/>
    </row>
    <row r="126" spans="2:7" ht="16.8" thickTop="1" thickBot="1" x14ac:dyDescent="0.35">
      <c r="B126" s="4" t="s">
        <v>180</v>
      </c>
      <c r="C126" s="81" t="b">
        <v>1</v>
      </c>
      <c r="D126" s="74" t="b">
        <v>0</v>
      </c>
      <c r="E126" s="74" t="b">
        <v>0</v>
      </c>
      <c r="F126" s="110" t="b">
        <v>0</v>
      </c>
      <c r="G126" s="1"/>
    </row>
    <row r="127" spans="2:7" ht="16.8" thickTop="1" thickBot="1" x14ac:dyDescent="0.35">
      <c r="B127" s="4" t="s">
        <v>181</v>
      </c>
      <c r="C127" s="81" t="b">
        <v>1</v>
      </c>
      <c r="D127" s="74" t="b">
        <v>0</v>
      </c>
      <c r="E127" s="74" t="b">
        <v>0</v>
      </c>
      <c r="F127" s="94" t="b">
        <v>0</v>
      </c>
      <c r="G127" s="1"/>
    </row>
    <row r="128" spans="2:7" ht="16.8" thickTop="1" thickBot="1" x14ac:dyDescent="0.35">
      <c r="B128" s="4" t="s">
        <v>182</v>
      </c>
      <c r="C128" s="81" t="b">
        <v>1</v>
      </c>
      <c r="D128" s="74" t="b">
        <v>0</v>
      </c>
      <c r="E128" s="74" t="b">
        <v>0</v>
      </c>
      <c r="F128" s="109" t="b">
        <v>0</v>
      </c>
      <c r="G128" s="1"/>
    </row>
    <row r="129" spans="2:7" ht="16.8" thickTop="1" thickBot="1" x14ac:dyDescent="0.35">
      <c r="B129" s="4" t="s">
        <v>183</v>
      </c>
      <c r="C129" s="81" t="b">
        <v>1</v>
      </c>
      <c r="D129" s="81" t="b">
        <v>0</v>
      </c>
      <c r="E129" s="94" t="b">
        <v>0</v>
      </c>
      <c r="F129" s="93" t="b">
        <v>0</v>
      </c>
      <c r="G129" s="1"/>
    </row>
    <row r="130" spans="2:7" ht="16.8" thickTop="1" thickBot="1" x14ac:dyDescent="0.35">
      <c r="B130" s="5" t="s">
        <v>184</v>
      </c>
      <c r="C130" s="133" t="b">
        <v>0</v>
      </c>
      <c r="D130" s="133" t="b">
        <v>1</v>
      </c>
      <c r="E130" s="94" t="b">
        <v>0</v>
      </c>
      <c r="F130" s="93" t="b">
        <v>0</v>
      </c>
      <c r="G130" s="1"/>
    </row>
    <row r="131" spans="2:7" ht="16.2" thickBot="1" x14ac:dyDescent="0.35">
      <c r="B131" s="26" t="s">
        <v>22</v>
      </c>
      <c r="C131" s="134">
        <f>COUNTIF(C121:C130,"=true")*C119</f>
        <v>9</v>
      </c>
      <c r="D131" s="135">
        <f t="shared" ref="D131:F131" si="1">COUNTIF(D121:D130,"=true")*D119</f>
        <v>2</v>
      </c>
      <c r="E131" s="25">
        <f t="shared" si="1"/>
        <v>0</v>
      </c>
      <c r="F131" s="22">
        <f t="shared" si="1"/>
        <v>0</v>
      </c>
      <c r="G131" s="10">
        <f>SUM(C131:F131)</f>
        <v>11</v>
      </c>
    </row>
    <row r="132" spans="2:7" x14ac:dyDescent="0.3">
      <c r="B132" s="1"/>
      <c r="C132" s="1"/>
      <c r="D132" s="1"/>
      <c r="E132" s="1"/>
      <c r="F132" s="1"/>
      <c r="G132" s="1"/>
    </row>
    <row r="133" spans="2:7" x14ac:dyDescent="0.3">
      <c r="B133" s="1"/>
      <c r="C133" s="1"/>
      <c r="D133" s="1"/>
      <c r="E133" s="1"/>
      <c r="F133" s="1"/>
      <c r="G133" s="1"/>
    </row>
    <row r="134" spans="2:7" x14ac:dyDescent="0.3">
      <c r="B134" s="1"/>
      <c r="C134" s="1"/>
      <c r="D134" s="1"/>
      <c r="E134" s="1"/>
      <c r="F134" s="1"/>
      <c r="G134" s="1"/>
    </row>
    <row r="135" spans="2:7" x14ac:dyDescent="0.3">
      <c r="B135" s="1"/>
      <c r="C135" s="1"/>
      <c r="D135" s="1"/>
      <c r="E135" s="1"/>
      <c r="F135" s="1"/>
      <c r="G135" s="1"/>
    </row>
    <row r="136" spans="2:7" x14ac:dyDescent="0.3">
      <c r="B136" s="1"/>
      <c r="C136" s="1"/>
      <c r="D136" s="1"/>
      <c r="E136" s="1"/>
      <c r="F136" s="1"/>
      <c r="G136" s="1"/>
    </row>
    <row r="137" spans="2:7" x14ac:dyDescent="0.3">
      <c r="B137" s="1"/>
      <c r="C137" s="1"/>
      <c r="D137" s="1"/>
      <c r="E137" s="1"/>
      <c r="F137" s="1"/>
      <c r="G137" s="1"/>
    </row>
    <row r="138" spans="2:7" x14ac:dyDescent="0.3">
      <c r="B138" s="1"/>
      <c r="C138" s="1"/>
      <c r="D138" s="1"/>
      <c r="E138" s="1"/>
      <c r="F138" s="1"/>
      <c r="G138" s="1"/>
    </row>
    <row r="139" spans="2:7" x14ac:dyDescent="0.3">
      <c r="B139" s="1"/>
      <c r="C139" s="1"/>
      <c r="D139" s="1"/>
      <c r="E139" s="1"/>
      <c r="F139" s="1"/>
      <c r="G139" s="1"/>
    </row>
    <row r="140" spans="2:7" x14ac:dyDescent="0.3">
      <c r="B140" s="1"/>
      <c r="C140" s="1"/>
      <c r="D140" s="1"/>
      <c r="E140" s="1"/>
      <c r="F140" s="1"/>
      <c r="G140" s="1"/>
    </row>
    <row r="141" spans="2:7" x14ac:dyDescent="0.3">
      <c r="B141" s="1"/>
      <c r="C141" s="1"/>
      <c r="D141" s="1"/>
      <c r="E141" s="1"/>
      <c r="F141" s="1"/>
      <c r="G141" s="1"/>
    </row>
    <row r="142" spans="2:7" x14ac:dyDescent="0.3">
      <c r="B142" s="1"/>
      <c r="C142" s="1"/>
      <c r="D142" s="1"/>
      <c r="E142" s="1"/>
      <c r="F142" s="1"/>
      <c r="G142" s="1"/>
    </row>
    <row r="143" spans="2:7" x14ac:dyDescent="0.3">
      <c r="B143" s="1"/>
      <c r="C143" s="1"/>
      <c r="D143" s="1"/>
      <c r="E143" s="1"/>
      <c r="F143" s="1"/>
      <c r="G143" s="1"/>
    </row>
    <row r="144" spans="2:7" x14ac:dyDescent="0.3">
      <c r="B144" s="1"/>
      <c r="C144" s="1"/>
      <c r="D144" s="1"/>
      <c r="E144" s="1"/>
      <c r="F144" s="1"/>
      <c r="G144" s="1"/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B506" s="1"/>
      <c r="C506" s="1"/>
      <c r="D506" s="1"/>
      <c r="E506" s="1"/>
      <c r="F506" s="1"/>
      <c r="G506" s="1"/>
    </row>
    <row r="507" spans="2:7" x14ac:dyDescent="0.3">
      <c r="B507" s="1"/>
      <c r="C507" s="1"/>
      <c r="D507" s="1"/>
      <c r="E507" s="1"/>
      <c r="F507" s="1"/>
      <c r="G507" s="1"/>
    </row>
    <row r="508" spans="2:7" x14ac:dyDescent="0.3">
      <c r="B508" s="1"/>
      <c r="C508" s="1"/>
      <c r="D508" s="1"/>
      <c r="E508" s="1"/>
      <c r="F508" s="1"/>
      <c r="G508" s="1"/>
    </row>
    <row r="509" spans="2:7" x14ac:dyDescent="0.3">
      <c r="B509" s="1"/>
      <c r="C509" s="1"/>
      <c r="D509" s="1"/>
      <c r="E509" s="1"/>
      <c r="F509" s="1"/>
      <c r="G509" s="1"/>
    </row>
    <row r="510" spans="2:7" x14ac:dyDescent="0.3">
      <c r="B510" s="1"/>
      <c r="C510" s="1"/>
      <c r="D510" s="1"/>
      <c r="E510" s="1"/>
      <c r="F510" s="1"/>
      <c r="G510" s="1"/>
    </row>
    <row r="511" spans="2:7" x14ac:dyDescent="0.3">
      <c r="B511" s="1"/>
      <c r="C511" s="1"/>
      <c r="D511" s="1"/>
      <c r="E511" s="1"/>
      <c r="F511" s="1"/>
      <c r="G511" s="1"/>
    </row>
    <row r="512" spans="2:7" x14ac:dyDescent="0.3">
      <c r="B512" s="1"/>
      <c r="C512" s="1"/>
      <c r="D512" s="1"/>
      <c r="E512" s="1"/>
      <c r="F512" s="1"/>
      <c r="G512" s="1"/>
    </row>
    <row r="513" spans="2:7" x14ac:dyDescent="0.3">
      <c r="B513" s="1"/>
      <c r="C513" s="1"/>
      <c r="D513" s="1"/>
      <c r="E513" s="1"/>
      <c r="F513" s="1"/>
      <c r="G513" s="1"/>
    </row>
    <row r="514" spans="2:7" x14ac:dyDescent="0.3">
      <c r="B514" s="1"/>
      <c r="C514" s="1"/>
      <c r="D514" s="1"/>
      <c r="E514" s="1"/>
      <c r="F514" s="1"/>
      <c r="G514" s="1"/>
    </row>
    <row r="515" spans="2:7" x14ac:dyDescent="0.3">
      <c r="B515" s="1"/>
      <c r="C515" s="1"/>
      <c r="D515" s="1"/>
      <c r="E515" s="1"/>
      <c r="F515" s="1"/>
      <c r="G515" s="1"/>
    </row>
    <row r="516" spans="2:7" x14ac:dyDescent="0.3">
      <c r="B516" s="1"/>
      <c r="C516" s="1"/>
      <c r="D516" s="1"/>
      <c r="E516" s="1"/>
      <c r="F516" s="1"/>
      <c r="G516" s="1"/>
    </row>
    <row r="517" spans="2:7" x14ac:dyDescent="0.3">
      <c r="B517" s="1"/>
      <c r="C517" s="1"/>
      <c r="D517" s="1"/>
      <c r="E517" s="1"/>
      <c r="F517" s="1"/>
      <c r="G517" s="1"/>
    </row>
    <row r="518" spans="2:7" x14ac:dyDescent="0.3">
      <c r="B518" s="1"/>
      <c r="C518" s="1"/>
      <c r="D518" s="1"/>
      <c r="E518" s="1"/>
      <c r="F518" s="1"/>
      <c r="G518" s="1"/>
    </row>
    <row r="519" spans="2:7" x14ac:dyDescent="0.3">
      <c r="B519" s="1"/>
      <c r="C519" s="1"/>
      <c r="D519" s="1"/>
      <c r="E519" s="1"/>
      <c r="F519" s="1"/>
      <c r="G519" s="1"/>
    </row>
    <row r="520" spans="2:7" x14ac:dyDescent="0.3">
      <c r="B520" s="1"/>
      <c r="C520" s="1"/>
      <c r="D520" s="1"/>
      <c r="E520" s="1"/>
      <c r="F520" s="1"/>
      <c r="G520" s="1"/>
    </row>
    <row r="521" spans="2:7" x14ac:dyDescent="0.3">
      <c r="B521" s="1"/>
      <c r="C521" s="1"/>
      <c r="D521" s="1"/>
      <c r="E521" s="1"/>
      <c r="F521" s="1"/>
      <c r="G521" s="1"/>
    </row>
    <row r="522" spans="2:7" x14ac:dyDescent="0.3">
      <c r="B522" s="1"/>
      <c r="C522" s="1"/>
      <c r="D522" s="1"/>
      <c r="E522" s="1"/>
      <c r="F522" s="1"/>
      <c r="G522" s="1"/>
    </row>
    <row r="523" spans="2:7" x14ac:dyDescent="0.3">
      <c r="B523" s="1"/>
      <c r="C523" s="1"/>
      <c r="D523" s="1"/>
      <c r="E523" s="1"/>
      <c r="F523" s="1"/>
      <c r="G523" s="1"/>
    </row>
    <row r="524" spans="2:7" x14ac:dyDescent="0.3">
      <c r="B524" s="1"/>
      <c r="C524" s="1"/>
      <c r="D524" s="1"/>
      <c r="E524" s="1"/>
      <c r="F524" s="1"/>
      <c r="G524" s="1"/>
    </row>
    <row r="525" spans="2:7" x14ac:dyDescent="0.3">
      <c r="B525" s="1"/>
      <c r="C525" s="1"/>
      <c r="D525" s="1"/>
      <c r="E525" s="1"/>
      <c r="F525" s="1"/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/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</sheetData>
  <autoFilter ref="C72:F81" xr:uid="{502296F7-CFD5-2E40-A514-9C6E408C2D8B}"/>
  <mergeCells count="18">
    <mergeCell ref="B2:J7"/>
    <mergeCell ref="B19:J26"/>
    <mergeCell ref="B29:F30"/>
    <mergeCell ref="B58:F58"/>
    <mergeCell ref="B46:F46"/>
    <mergeCell ref="B31:F31"/>
    <mergeCell ref="B11:J11"/>
    <mergeCell ref="B12:J12"/>
    <mergeCell ref="B17:J18"/>
    <mergeCell ref="B13:J13"/>
    <mergeCell ref="B14:J14"/>
    <mergeCell ref="B15:J15"/>
    <mergeCell ref="B16:J16"/>
    <mergeCell ref="B9:J10"/>
    <mergeCell ref="B92:F92"/>
    <mergeCell ref="B104:F104"/>
    <mergeCell ref="B70:F70"/>
    <mergeCell ref="B83:F83"/>
  </mergeCells>
  <conditionalFormatting sqref="C34:F43 C49:F55 C61:F67 C73:F80 C86:F89 C95:F101 C107:F115">
    <cfRule type="expression" dxfId="1" priority="3" stopIfTrue="1">
      <formula>COUNTIF($C34:$F34,TRUE)&gt;1</formula>
    </cfRule>
  </conditionalFormatting>
  <conditionalFormatting sqref="C121:F130">
    <cfRule type="expression" dxfId="0" priority="1" stopIfTrue="1">
      <formula>COUNTIF($C121:$F121,TRUE)&gt;1</formula>
    </cfRule>
  </conditionalFormatting>
  <pageMargins left="0.7" right="0.7" top="0.75" bottom="0.75" header="0.3" footer="0.3"/>
  <pageSetup paperSize="9" scale="49" fitToHeight="3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222-D3A6-CE48-8C04-915145AD306F}">
  <sheetPr>
    <pageSetUpPr fitToPage="1"/>
  </sheetPr>
  <dimension ref="B1:H79"/>
  <sheetViews>
    <sheetView topLeftCell="A55" zoomScale="162" zoomScaleNormal="162" workbookViewId="0">
      <selection activeCell="B75" sqref="B75"/>
    </sheetView>
  </sheetViews>
  <sheetFormatPr defaultColWidth="11.19921875" defaultRowHeight="15.6" x14ac:dyDescent="0.3"/>
  <cols>
    <col min="1" max="1" width="2.5" customWidth="1"/>
    <col min="3" max="3" width="118.5" bestFit="1" customWidth="1"/>
  </cols>
  <sheetData>
    <row r="1" spans="2:8" ht="10.050000000000001" customHeight="1" thickBot="1" x14ac:dyDescent="0.35"/>
    <row r="2" spans="2:8" ht="16.2" thickBot="1" x14ac:dyDescent="0.35">
      <c r="B2" s="122" t="s">
        <v>121</v>
      </c>
      <c r="C2" s="119" t="s">
        <v>122</v>
      </c>
    </row>
    <row r="3" spans="2:8" ht="16.2" thickBot="1" x14ac:dyDescent="0.35">
      <c r="B3" s="123" t="b">
        <f>IF(COUNTIF(B4:B13,"=TRUE")&gt;0,TRUE,FALSE)</f>
        <v>0</v>
      </c>
      <c r="C3" s="130" t="s">
        <v>9</v>
      </c>
      <c r="H3" s="1"/>
    </row>
    <row r="4" spans="2:8" x14ac:dyDescent="0.3">
      <c r="B4" s="128" t="b" cm="1">
        <f t="array" ref="B4">VLOOKUP(C4:C4,'Entrada de Dados'!$B$34:$F$43,2)</f>
        <v>0</v>
      </c>
      <c r="C4" s="3" t="str">
        <f>'Entrada de Dados'!B34</f>
        <v>1.Sabe trabalhar em grupo; é solícito com outros.</v>
      </c>
    </row>
    <row r="5" spans="2:8" x14ac:dyDescent="0.3">
      <c r="B5" s="128" t="b" cm="1">
        <f t="array" ref="B5">VLOOKUP(C5:C5,'Entrada de Dados'!$B$34:$F$43,2)</f>
        <v>0</v>
      </c>
      <c r="C5" s="4" t="str">
        <f>'Entrada de Dados'!B35</f>
        <v>2.Resolve conflitos com colegas sem a intervenção do professor.</v>
      </c>
    </row>
    <row r="6" spans="2:8" x14ac:dyDescent="0.3">
      <c r="B6" s="128" t="b" cm="1">
        <f t="array" ref="B6">VLOOKUP(C6:C6,'Entrada de Dados'!$B$34:$F$43,2)</f>
        <v>0</v>
      </c>
      <c r="C6" s="4" t="str">
        <f>'Entrada de Dados'!B36</f>
        <v>3.Lida com frustrações sem explosões ou comportamento agressivo.</v>
      </c>
    </row>
    <row r="7" spans="2:8" x14ac:dyDescent="0.3">
      <c r="B7" s="128" t="b" cm="1">
        <f t="array" ref="B7">VLOOKUP(C7:C7,'Entrada de Dados'!$B$34:$F$43,2)</f>
        <v>0</v>
      </c>
      <c r="C7" s="4" t="str">
        <f>'Entrada de Dados'!B37</f>
        <v>4.Participa espontaneamente com colegas em uma variedade de jogos e atividades.</v>
      </c>
    </row>
    <row r="8" spans="2:8" x14ac:dyDescent="0.3">
      <c r="B8" s="128" t="b" cm="1">
        <f t="array" ref="B8">VLOOKUP(C8:C8,'Entrada de Dados'!$B$34:$F$43,2)</f>
        <v>0</v>
      </c>
      <c r="C8" s="4" t="str">
        <f>'Entrada de Dados'!B38</f>
        <v>5.Participa da brincadeira sem interromper seu andamento.</v>
      </c>
    </row>
    <row r="9" spans="2:8" x14ac:dyDescent="0.3">
      <c r="B9" s="128" t="b" cm="1">
        <f t="array" ref="B9">VLOOKUP(C9:C9,'Entrada de Dados'!$B$34:$F$43,2)</f>
        <v>0</v>
      </c>
      <c r="C9" s="4" t="str">
        <f>'Entrada de Dados'!B39</f>
        <v>6.Tem amigos e escolhe estar com eles quando possível.</v>
      </c>
    </row>
    <row r="10" spans="2:8" x14ac:dyDescent="0.3">
      <c r="B10" s="128" t="b" cm="1">
        <f t="array" ref="B10">VLOOKUP(C10:C10,'Entrada de Dados'!$B$34:$F$43,2)</f>
        <v>0</v>
      </c>
      <c r="C10" s="4" t="str">
        <f>'Entrada de Dados'!B40</f>
        <v>7.Compreende e usa de humor quando brinca com amigos.</v>
      </c>
    </row>
    <row r="11" spans="2:8" x14ac:dyDescent="0.3">
      <c r="B11" s="128" t="b" cm="1">
        <f t="array" ref="B11">VLOOKUP(C11:C11,'Entrada de Dados'!$B$34:$F$43,2)</f>
        <v>0</v>
      </c>
      <c r="C11" s="4" t="str">
        <f>'Entrada de Dados'!B41</f>
        <v>8.Mantém apropriadamente seu "espaço pessoal" (não fica muito próximo quando conversa).</v>
      </c>
    </row>
    <row r="12" spans="2:8" x14ac:dyDescent="0.3">
      <c r="B12" s="128" t="b" cm="1">
        <f t="array" ref="B12">VLOOKUP(C12:C12,'Entrada de Dados'!$B$34:$F$43,2)</f>
        <v>0</v>
      </c>
      <c r="C12" s="4" t="str">
        <f>'Entrada de Dados'!B42</f>
        <v>9.Mantém contato visual apropriado durante a conversa.</v>
      </c>
    </row>
    <row r="13" spans="2:8" ht="16.2" thickBot="1" x14ac:dyDescent="0.35">
      <c r="B13" s="129" t="b" cm="1">
        <f t="array" ref="B13">VLOOKUP(C13:C13,'Entrada de Dados'!$B$34:$F$43,2)</f>
        <v>0</v>
      </c>
      <c r="C13" s="5" t="str">
        <f>'Entrada de Dados'!B43</f>
        <v>10.Muda os tópicos das conversas de acordo com o interesse dos colegas; não fica preso a um tópico só.</v>
      </c>
    </row>
    <row r="14" spans="2:8" ht="16.2" thickBot="1" x14ac:dyDescent="0.35">
      <c r="B14" s="18"/>
      <c r="C14" s="118"/>
    </row>
    <row r="15" spans="2:8" ht="16.05" customHeight="1" thickBot="1" x14ac:dyDescent="0.35">
      <c r="B15" s="123" t="b">
        <f>IF(COUNTIF(B16:B22,"=TRUE")&gt;0,TRUE,FALSE)</f>
        <v>0</v>
      </c>
      <c r="C15" s="126" t="s">
        <v>15</v>
      </c>
    </row>
    <row r="16" spans="2:8" ht="16.2" thickBot="1" x14ac:dyDescent="0.35">
      <c r="B16" s="124" t="b" cm="1">
        <f t="array" ref="B16">VLOOKUP(C16:C16,'Entrada de Dados'!$B$49:$F$55,5)</f>
        <v>0</v>
      </c>
      <c r="C16" s="120" t="str">
        <f>'Entrada de Dados'!B49</f>
        <v>11.Aperta, cobre os olhos ou reclama da claridade da sala de aula ou o brilho do sol.</v>
      </c>
    </row>
    <row r="17" spans="2:3" ht="16.2" thickBot="1" x14ac:dyDescent="0.35">
      <c r="B17" s="124" t="b" cm="1">
        <f t="array" ref="B17">VLOOKUP(C17:C17,'Entrada de Dados'!$B$49:$F$55,5)</f>
        <v>0</v>
      </c>
      <c r="C17" s="120" t="str">
        <f>'Entrada de Dados'!B50</f>
        <v>12.Fica incomodado com o movimento de objetos.</v>
      </c>
    </row>
    <row r="18" spans="2:3" ht="16.2" thickBot="1" x14ac:dyDescent="0.35">
      <c r="B18" s="124" t="b" cm="1">
        <f t="array" ref="B18">VLOOKUP(C18:C18,'Entrada de Dados'!$B$49:$F$55,5)</f>
        <v>0</v>
      </c>
      <c r="C18" s="120" t="str">
        <f>'Entrada de Dados'!B51</f>
        <v>13.Se distrai com estímulo visual próximo (figuras, objetos em estantes, janelas, outras crianças).</v>
      </c>
    </row>
    <row r="19" spans="2:3" ht="16.2" thickBot="1" x14ac:dyDescent="0.35">
      <c r="B19" s="124" t="b" cm="1">
        <f t="array" ref="B19">VLOOKUP(C19:C19,'Entrada de Dados'!$B$49:$F$55,5)</f>
        <v>0</v>
      </c>
      <c r="C19" s="120" t="str">
        <f>'Entrada de Dados'!B52</f>
        <v>14.Durante a instrução ou um anúncio, olha ao redor ou para os colegas ao invés de olhar para a pessoa que fala ou para o quadro negro.</v>
      </c>
    </row>
    <row r="20" spans="2:3" ht="16.2" thickBot="1" x14ac:dyDescent="0.35">
      <c r="B20" s="124" t="b" cm="1">
        <f t="array" ref="B20">VLOOKUP(C20:C20,'Entrada de Dados'!$B$49:$F$55,5)</f>
        <v>0</v>
      </c>
      <c r="C20" s="120" t="str">
        <f>'Entrada de Dados'!B53</f>
        <v>15.Gira ou movimenta subitamente objetos em frente aos olhos.</v>
      </c>
    </row>
    <row r="21" spans="2:3" ht="16.2" thickBot="1" x14ac:dyDescent="0.35">
      <c r="B21" s="124" t="b" cm="1">
        <f t="array" ref="B21">VLOOKUP(C21:C21,'Entrada de Dados'!$B$49:$F$55,5)</f>
        <v>0</v>
      </c>
      <c r="C21" s="120" t="str">
        <f>'Entrada de Dados'!B54</f>
        <v>16.Olha fixamente para pessoas ou objetos.</v>
      </c>
    </row>
    <row r="22" spans="2:3" x14ac:dyDescent="0.3">
      <c r="B22" s="124" t="b" cm="1">
        <f t="array" ref="B22">VLOOKUP(C22:C22,'Entrada de Dados'!$B$49:$F$55,5)</f>
        <v>0</v>
      </c>
      <c r="C22" s="120" t="str">
        <f>'Entrada de Dados'!B55</f>
        <v>17.Fica incomodado quando as luzes diminuem no cinema ou teatro.</v>
      </c>
    </row>
    <row r="23" spans="2:3" ht="16.2" thickBot="1" x14ac:dyDescent="0.35">
      <c r="B23" s="18"/>
      <c r="C23" s="118"/>
    </row>
    <row r="24" spans="2:3" ht="16.2" thickBot="1" x14ac:dyDescent="0.35">
      <c r="B24" s="123" t="b">
        <f>IF(COUNTIF(B25:B31,"=TRUE")&gt;0,TRUE,FALSE)</f>
        <v>0</v>
      </c>
      <c r="C24" s="126" t="s">
        <v>16</v>
      </c>
    </row>
    <row r="25" spans="2:3" ht="16.2" thickBot="1" x14ac:dyDescent="0.35">
      <c r="B25" s="124" t="b" cm="1">
        <f t="array" ref="B25">VLOOKUP(C25:C25,'Entrada de Dados'!$B$61:$F$67,5)</f>
        <v>0</v>
      </c>
      <c r="C25" s="120" t="str">
        <f>'Entrada de Dados'!B61</f>
        <v>18.Se incomoda com sons altos (batidas de portas, furadeiras, apontador elétrico).</v>
      </c>
    </row>
    <row r="26" spans="2:3" ht="16.2" thickBot="1" x14ac:dyDescent="0.35">
      <c r="B26" s="124" t="b" cm="1">
        <f t="array" ref="B26">VLOOKUP(C26:C26,'Entrada de Dados'!$B$61:$F$67,5)</f>
        <v>0</v>
      </c>
      <c r="C26" s="120" t="str">
        <f>'Entrada de Dados'!B62</f>
        <v>19.Se incomoda com o som de música ou instrumentos musicais.</v>
      </c>
    </row>
    <row r="27" spans="2:3" ht="16.2" thickBot="1" x14ac:dyDescent="0.35">
      <c r="B27" s="124" t="b" cm="1">
        <f t="array" ref="B27">VLOOKUP(C27:C27,'Entrada de Dados'!$B$61:$F$67,5)</f>
        <v>0</v>
      </c>
      <c r="C27" s="120" t="str">
        <f>'Entrada de Dados'!B63</f>
        <v>20.Não responde a vozes ou novos sons.</v>
      </c>
    </row>
    <row r="28" spans="2:3" ht="16.2" thickBot="1" x14ac:dyDescent="0.35">
      <c r="B28" s="124" t="b" cm="1">
        <f t="array" ref="B28">VLOOKUP(C28:C28,'Entrada de Dados'!$B$61:$F$67,5)</f>
        <v>0</v>
      </c>
      <c r="C28" s="120" t="str">
        <f>'Entrada de Dados'!B64</f>
        <v>21.Não consegue determinar a localização de vozes ou sons.</v>
      </c>
    </row>
    <row r="29" spans="2:3" ht="16.2" thickBot="1" x14ac:dyDescent="0.35">
      <c r="B29" s="124" t="b" cm="1">
        <f t="array" ref="B29">VLOOKUP(C29:C29,'Entrada de Dados'!$B$61:$F$67,5)</f>
        <v>0</v>
      </c>
      <c r="C29" s="120" t="str">
        <f>'Entrada de Dados'!B65</f>
        <v>22.Faz barulhos, assobia, canta ou grita enquanto a classe está em silêncio.</v>
      </c>
    </row>
    <row r="30" spans="2:3" ht="16.2" thickBot="1" x14ac:dyDescent="0.35">
      <c r="B30" s="124" t="b" cm="1">
        <f t="array" ref="B30">VLOOKUP(C30:C30,'Entrada de Dados'!$B$61:$F$67,5)</f>
        <v>0</v>
      </c>
      <c r="C30" s="120" t="str">
        <f>'Entrada de Dados'!B66</f>
        <v>23.Fala muito alto ou faz muito barulho durante o recreio.</v>
      </c>
    </row>
    <row r="31" spans="2:3" x14ac:dyDescent="0.3">
      <c r="B31" s="124" t="b" cm="1">
        <f t="array" ref="B31">VLOOKUP(C31:C31,'Entrada de Dados'!$B$61:$F$67,5)</f>
        <v>0</v>
      </c>
      <c r="C31" s="120" t="str">
        <f>'Entrada de Dados'!B67</f>
        <v>24.Grita, berra ou produz barulhos incomuns sozinho.</v>
      </c>
    </row>
    <row r="32" spans="2:3" ht="16.2" thickBot="1" x14ac:dyDescent="0.35">
      <c r="B32" s="18"/>
      <c r="C32" s="118"/>
    </row>
    <row r="33" spans="2:3" ht="16.2" thickBot="1" x14ac:dyDescent="0.35">
      <c r="B33" s="123" t="b">
        <f>IF(COUNTIF(B34:B41,"=TRUE")&gt;0,TRUE,FALSE)</f>
        <v>0</v>
      </c>
      <c r="C33" s="126" t="s">
        <v>17</v>
      </c>
    </row>
    <row r="34" spans="2:3" ht="16.2" thickBot="1" x14ac:dyDescent="0.35">
      <c r="B34" s="124" t="b" cm="1">
        <f t="array" ref="B34">VLOOKUP(C34:C34,'Entrada de Dados'!$B$73:$F$80,5)</f>
        <v>0</v>
      </c>
      <c r="C34" s="120" t="str">
        <f>'Entrada de Dados'!B73</f>
        <v>25.Fica incomodado quando as mãos ou rosto estão sujos (com cola, pintura a dedo, comida, sujeira, etc).</v>
      </c>
    </row>
    <row r="35" spans="2:3" ht="16.2" thickBot="1" x14ac:dyDescent="0.35">
      <c r="B35" s="124" t="b" cm="1">
        <f t="array" ref="B35">VLOOKUP(C35:C35,'Entrada de Dados'!$B$73:$F$80,5)</f>
        <v>0</v>
      </c>
      <c r="C35" s="120" t="str">
        <f>'Entrada de Dados'!B74</f>
        <v>26.Não tolera sujeira nas mãos ou na roupa, mesmo que brevemente.</v>
      </c>
    </row>
    <row r="36" spans="2:3" ht="16.2" thickBot="1" x14ac:dyDescent="0.35">
      <c r="B36" s="124" t="b" cm="1">
        <f t="array" ref="B36">VLOOKUP(C36:C36,'Entrada de Dados'!$B$73:$F$80,5)</f>
        <v>0</v>
      </c>
      <c r="C36" s="120" t="str">
        <f>'Entrada de Dados'!B75</f>
        <v>27.Demonstra desconforto  ao tocar determinadas texturas (materiais escolares, utensílios, equipamentos esportivos, etc.).</v>
      </c>
    </row>
    <row r="37" spans="2:3" ht="16.2" thickBot="1" x14ac:dyDescent="0.35">
      <c r="B37" s="124" t="b" cm="1">
        <f t="array" ref="B37">VLOOKUP(C37:C37,'Entrada de Dados'!$B$73:$F$80,5)</f>
        <v>0</v>
      </c>
      <c r="C37" s="120" t="str">
        <f>'Entrada de Dados'!B76</f>
        <v>28.Fica incomodado com o contato acidental dos amigos (pode revidar ou sair de perto).</v>
      </c>
    </row>
    <row r="38" spans="2:3" ht="16.2" thickBot="1" x14ac:dyDescent="0.35">
      <c r="B38" s="124" t="b" cm="1">
        <f t="array" ref="B38">VLOOKUP(C38:C38,'Entrada de Dados'!$B$73:$F$80,5)</f>
        <v>0</v>
      </c>
      <c r="C38" s="120" t="str">
        <f>'Entrada de Dados'!B77</f>
        <v>29.Não responde ao toque de outra pessoa.</v>
      </c>
    </row>
    <row r="39" spans="2:3" ht="16.2" thickBot="1" x14ac:dyDescent="0.35">
      <c r="B39" s="124" t="b" cm="1">
        <f t="array" ref="B39">VLOOKUP(C39:C39,'Entrada de Dados'!$B$73:$F$80,5)</f>
        <v>0</v>
      </c>
      <c r="C39" s="120" t="str">
        <f>'Entrada de Dados'!B78</f>
        <v>30.Procura pela temperatura quente ou fria ao tocar janela ou outras superfícies.</v>
      </c>
    </row>
    <row r="40" spans="2:3" ht="16.2" thickBot="1" x14ac:dyDescent="0.35">
      <c r="B40" s="124" t="b" cm="1">
        <f t="array" ref="B40">VLOOKUP(C40:C40,'Entrada de Dados'!$B$73:$F$80,5)</f>
        <v>0</v>
      </c>
      <c r="C40" s="120" t="str">
        <f>'Entrada de Dados'!B79</f>
        <v>31.Toca inapropriadamente os colegas durante a aula ou em fila.</v>
      </c>
    </row>
    <row r="41" spans="2:3" x14ac:dyDescent="0.3">
      <c r="B41" s="124" t="b" cm="1">
        <f t="array" ref="B41">VLOOKUP(C41:C41,'Entrada de Dados'!$B$73:$F$80,5)</f>
        <v>0</v>
      </c>
      <c r="C41" s="120" t="str">
        <f>'Entrada de Dados'!B80</f>
        <v>32.Não limpa a saliva ou o alimento do rosto.</v>
      </c>
    </row>
    <row r="42" spans="2:3" ht="16.2" thickBot="1" x14ac:dyDescent="0.35">
      <c r="B42" s="18"/>
      <c r="C42" s="118"/>
    </row>
    <row r="43" spans="2:3" ht="16.2" thickBot="1" x14ac:dyDescent="0.35">
      <c r="B43" s="123" t="b">
        <f>IF(COUNTIF(B44:B47,"=TRUE")&gt;0,TRUE,FALSE)</f>
        <v>0</v>
      </c>
      <c r="C43" s="126" t="s">
        <v>18</v>
      </c>
    </row>
    <row r="44" spans="2:3" x14ac:dyDescent="0.3">
      <c r="B44" s="124" t="b" cm="1">
        <f t="array" ref="B44">VLOOKUP(C44:C44,'Entrada de Dados'!$B$86:$F$89,5)</f>
        <v>0</v>
      </c>
      <c r="C44" s="121" t="str">
        <f>'Entrada de Dados'!B86</f>
        <v>33.Se sente incomodado com o gosto e cheiro de comidas diferentes.</v>
      </c>
    </row>
    <row r="45" spans="2:3" x14ac:dyDescent="0.3">
      <c r="B45" s="124" t="b" cm="1">
        <f t="array" ref="B45">VLOOKUP(C45:C45,'Entrada de Dados'!$B$86:$F$89,5)</f>
        <v>0</v>
      </c>
      <c r="C45" s="121" t="str">
        <f>'Entrada de Dados'!B87</f>
        <v>34.Não percebe cheiros fortes ou diferentes (cola, tinta, marcadores de texto, etc.).</v>
      </c>
    </row>
    <row r="46" spans="2:3" x14ac:dyDescent="0.3">
      <c r="B46" s="124" t="b" cm="1">
        <f t="array" ref="B46">VLOOKUP(C46:C46,'Entrada de Dados'!$B$86:$F$89,5)</f>
        <v>0</v>
      </c>
      <c r="C46" s="121" t="str">
        <f>'Entrada de Dados'!B88</f>
        <v>35.Não consegue distinguir entre odores; não prefere cheiros bons aos ruins.</v>
      </c>
    </row>
    <row r="47" spans="2:3" x14ac:dyDescent="0.3">
      <c r="B47" s="124" t="b" cm="1">
        <f t="array" ref="B47">VLOOKUP(C47:C47,'Entrada de Dados'!$B$86:$F$89,5)</f>
        <v>0</v>
      </c>
      <c r="C47" s="121" t="str">
        <f>'Entrada de Dados'!B89</f>
        <v>36.Tenta "provar" ou lamber objetos ou pessoas.</v>
      </c>
    </row>
    <row r="48" spans="2:3" ht="16.2" thickBot="1" x14ac:dyDescent="0.35">
      <c r="B48" s="18"/>
      <c r="C48" s="118"/>
    </row>
    <row r="49" spans="2:3" ht="16.2" thickBot="1" x14ac:dyDescent="0.35">
      <c r="B49" s="123" t="b">
        <f>IF(COUNTIF(B50:B56,"=TRUE")&gt;0,TRUE,FALSE)</f>
        <v>0</v>
      </c>
      <c r="C49" s="126" t="s">
        <v>19</v>
      </c>
    </row>
    <row r="50" spans="2:3" ht="16.2" thickBot="1" x14ac:dyDescent="0.35">
      <c r="B50" s="124" t="b" cm="1">
        <f t="array" ref="B50">VLOOKUP(C50:C50,'Entrada de Dados'!$B$95:$F$101,5)</f>
        <v>0</v>
      </c>
      <c r="C50" s="120" t="str">
        <f>'Entrada de Dados'!B95</f>
        <v>37.Derrama o conteúdo ao abrir um recipiente.</v>
      </c>
    </row>
    <row r="51" spans="2:3" ht="16.2" thickBot="1" x14ac:dyDescent="0.35">
      <c r="B51" s="124" t="b" cm="1">
        <f t="array" ref="B51">VLOOKUP(C51:C51,'Entrada de Dados'!$B$95:$F$101,5)</f>
        <v>0</v>
      </c>
      <c r="C51" s="120" t="str">
        <f>'Entrada de Dados'!B96</f>
        <v>38.Mastiga ou morde roupas, lápis, giz de cera ou materiais escolares.</v>
      </c>
    </row>
    <row r="52" spans="2:3" ht="16.2" thickBot="1" x14ac:dyDescent="0.35">
      <c r="B52" s="124" t="b" cm="1">
        <f t="array" ref="B52">VLOOKUP(C52:C52,'Entrada de Dados'!$B$95:$F$101,5)</f>
        <v>0</v>
      </c>
      <c r="C52" s="120" t="str">
        <f>'Entrada de Dados'!B97</f>
        <v>39.Move a cadeira bruscamente (empurra a cadeira para baixo da mesa ou puxa com muita força).</v>
      </c>
    </row>
    <row r="53" spans="2:3" ht="16.2" thickBot="1" x14ac:dyDescent="0.35">
      <c r="B53" s="124" t="b" cm="1">
        <f t="array" ref="B53">VLOOKUP(C53:C53,'Entrada de Dados'!$B$95:$F$101,5)</f>
        <v>0</v>
      </c>
      <c r="C53" s="120" t="str">
        <f>'Entrada de Dados'!B98</f>
        <v>40.Corre, pula ou salta ao invés de andar.</v>
      </c>
    </row>
    <row r="54" spans="2:3" ht="16.2" thickBot="1" x14ac:dyDescent="0.35">
      <c r="B54" s="124" t="b" cm="1">
        <f t="array" ref="B54">VLOOKUP(C54:C54,'Entrada de Dados'!$B$95:$F$101,5)</f>
        <v>0</v>
      </c>
      <c r="C54" s="120" t="str">
        <f>'Entrada de Dados'!B99</f>
        <v>41.Pisa forte ou bate os pés quando caminha.</v>
      </c>
    </row>
    <row r="55" spans="2:3" ht="16.2" thickBot="1" x14ac:dyDescent="0.35">
      <c r="B55" s="124" t="b" cm="1">
        <f t="array" ref="B55">VLOOKUP(C55:C55,'Entrada de Dados'!$B$95:$F$101,5)</f>
        <v>0</v>
      </c>
      <c r="C55" s="120" t="str">
        <f>'Entrada de Dados'!B100</f>
        <v>42.Pula ou pisa muito forte na escada.</v>
      </c>
    </row>
    <row r="56" spans="2:3" x14ac:dyDescent="0.3">
      <c r="B56" s="124" t="b" cm="1">
        <f t="array" ref="B56">VLOOKUP(C56:C56,'Entrada de Dados'!$B$95:$F$101,5)</f>
        <v>0</v>
      </c>
      <c r="C56" s="120" t="str">
        <f>'Entrada de Dados'!B101</f>
        <v>43.Abre ou fecha portas com força excessiva.</v>
      </c>
    </row>
    <row r="57" spans="2:3" ht="16.2" thickBot="1" x14ac:dyDescent="0.35">
      <c r="B57" s="18"/>
      <c r="C57" s="118"/>
    </row>
    <row r="58" spans="2:3" ht="16.2" thickBot="1" x14ac:dyDescent="0.35">
      <c r="B58" s="123" t="b">
        <f>IF(COUNTIF(B59:B67,"=TRUE")&gt;0,TRUE,FALSE)</f>
        <v>0</v>
      </c>
      <c r="C58" s="126" t="s">
        <v>20</v>
      </c>
    </row>
    <row r="59" spans="2:3" ht="16.2" thickBot="1" x14ac:dyDescent="0.35">
      <c r="B59" s="124" t="b" cm="1">
        <f t="array" ref="B59">VLOOKUP(C59:C59,'Entrada de Dados'!$B$107:$F$115,5)</f>
        <v>0</v>
      </c>
      <c r="C59" s="120" t="str">
        <f>'Entrada de Dados'!B107</f>
        <v>44.Passa as mãos na parede quando está andando.</v>
      </c>
    </row>
    <row r="60" spans="2:3" ht="16.2" thickBot="1" x14ac:dyDescent="0.35">
      <c r="B60" s="124" t="b" cm="1">
        <f t="array" ref="B60">VLOOKUP(C60:C60,'Entrada de Dados'!$B$107:$F$115,5)</f>
        <v>0</v>
      </c>
      <c r="C60" s="120" t="str">
        <f>'Entrada de Dados'!B108</f>
        <v>45.Enrola as pernas nos pés da cadeira.</v>
      </c>
    </row>
    <row r="61" spans="2:3" ht="16.2" thickBot="1" x14ac:dyDescent="0.35">
      <c r="B61" s="124" t="b" cm="1">
        <f t="array" ref="B61">VLOOKUP(C61:C61,'Entrada de Dados'!$B$107:$F$115,5)</f>
        <v>0</v>
      </c>
      <c r="C61" s="120" t="str">
        <f>'Entrada de Dados'!B109</f>
        <v>46.Se balança na cadeira quando está sentado à mesa ou carteira.</v>
      </c>
    </row>
    <row r="62" spans="2:3" ht="16.2" thickBot="1" x14ac:dyDescent="0.35">
      <c r="B62" s="124" t="b" cm="1">
        <f t="array" ref="B62">VLOOKUP(C62:C62,'Entrada de Dados'!$B$107:$F$115,5)</f>
        <v>0</v>
      </c>
      <c r="C62" s="120" t="str">
        <f>'Entrada de Dados'!B110</f>
        <v>47.Fica inquieto quando está sentado à mesa ou carteira.</v>
      </c>
    </row>
    <row r="63" spans="2:3" ht="16.2" thickBot="1" x14ac:dyDescent="0.35">
      <c r="B63" s="124" t="b" cm="1">
        <f t="array" ref="B63">VLOOKUP(C63:C63,'Entrada de Dados'!$B$107:$F$115,5)</f>
        <v>0</v>
      </c>
      <c r="C63" s="120" t="str">
        <f>'Entrada de Dados'!B111</f>
        <v>48.Cai da cadeira quando sentado à mesa ou carteira.</v>
      </c>
    </row>
    <row r="64" spans="2:3" ht="16.2" thickBot="1" x14ac:dyDescent="0.35">
      <c r="B64" s="124" t="b" cm="1">
        <f t="array" ref="B64">VLOOKUP(C64:C64,'Entrada de Dados'!$B$107:$F$115,5)</f>
        <v>0</v>
      </c>
      <c r="C64" s="120" t="str">
        <f>'Entrada de Dados'!B112</f>
        <v>49.Se apoia em paredes, móveis ou em outras pessoas como suporte quando está em pé.</v>
      </c>
    </row>
    <row r="65" spans="2:3" ht="16.2" thickBot="1" x14ac:dyDescent="0.35">
      <c r="B65" s="124" t="b" cm="1">
        <f t="array" ref="B65">VLOOKUP(C65:C65,'Entrada de Dados'!$B$107:$F$115,5)</f>
        <v>0</v>
      </c>
      <c r="C65" s="120" t="str">
        <f>'Entrada de Dados'!B113</f>
        <v>50.Quando sentado no chão, não consegue se levantar  sem suporte.</v>
      </c>
    </row>
    <row r="66" spans="2:3" ht="16.2" thickBot="1" x14ac:dyDescent="0.35">
      <c r="B66" s="124" t="b" cm="1">
        <f t="array" ref="B66">VLOOKUP(C66:C66,'Entrada de Dados'!$B$107:$F$115,5)</f>
        <v>0</v>
      </c>
      <c r="C66" s="120" t="str">
        <f>'Entrada de Dados'!B114</f>
        <v>51.Se afunda, se inclina na carteira, apoia a cabeça com as mãos quando está sentado à mesa.</v>
      </c>
    </row>
    <row r="67" spans="2:3" x14ac:dyDescent="0.3">
      <c r="B67" s="124" t="b" cm="1">
        <f t="array" ref="B67">VLOOKUP(C67:C67,'Entrada de Dados'!$B$107:$F$115,5)</f>
        <v>0</v>
      </c>
      <c r="C67" s="120" t="str">
        <f>'Entrada de Dados'!B115</f>
        <v>52.Tem pouca coordenação motora; parece desajeitado.</v>
      </c>
    </row>
    <row r="68" spans="2:3" ht="16.2" thickBot="1" x14ac:dyDescent="0.35">
      <c r="B68" s="18"/>
      <c r="C68" s="118"/>
    </row>
    <row r="69" spans="2:3" ht="16.2" thickBot="1" x14ac:dyDescent="0.35">
      <c r="B69" s="123" t="b">
        <f>IF(COUNTIF(B70:B78,"=TRUE")&gt;0,TRUE,FALSE)</f>
        <v>0</v>
      </c>
      <c r="C69" s="127" t="s">
        <v>21</v>
      </c>
    </row>
    <row r="70" spans="2:3" ht="16.2" thickBot="1" x14ac:dyDescent="0.35">
      <c r="B70" s="124" t="b" cm="1">
        <f t="array" ref="B70">VLOOKUP(C70:C70,'Entrada de Dados'!$B$121:$F$129,5)</f>
        <v>0</v>
      </c>
      <c r="C70" s="120" t="str">
        <f>'Entrada de Dados'!B121</f>
        <v>53.Não executa as tarefas diárias de forma consistente; a qualidade do trabalho varia muito.</v>
      </c>
    </row>
    <row r="71" spans="2:3" ht="16.2" thickBot="1" x14ac:dyDescent="0.35">
      <c r="B71" s="124" t="b" cm="1">
        <f t="array" ref="B71">VLOOKUP(C71:C71,'Entrada de Dados'!$B$121:$F$129,5)</f>
        <v>0</v>
      </c>
      <c r="C71" s="120" t="str">
        <f>'Entrada de Dados'!B122</f>
        <v>54.É incapaz de resolver problemas efetivamente.</v>
      </c>
    </row>
    <row r="72" spans="2:3" ht="16.2" thickBot="1" x14ac:dyDescent="0.35">
      <c r="B72" s="124" t="b" cm="1">
        <f t="array" ref="B72">VLOOKUP(C72:C72,'Entrada de Dados'!$B$121:$F$129,5)</f>
        <v>0</v>
      </c>
      <c r="C72" s="120" t="str">
        <f>'Entrada de Dados'!B123</f>
        <v>55.Se atrapalha ou deixa cair itens ao tentar transportar vários objetos.</v>
      </c>
    </row>
    <row r="73" spans="2:3" ht="16.2" thickBot="1" x14ac:dyDescent="0.35">
      <c r="B73" s="124" t="b" cm="1">
        <f t="array" ref="B73">VLOOKUP(C73:C73,'Entrada de Dados'!$B$121:$F$129,5)</f>
        <v>0</v>
      </c>
      <c r="C73" s="120" t="str">
        <f>'Entrada de Dados'!B124</f>
        <v>56.Não realiza tarefas na sequência apropriada.</v>
      </c>
    </row>
    <row r="74" spans="2:3" ht="16.2" thickBot="1" x14ac:dyDescent="0.35">
      <c r="B74" s="124" t="b" cm="1">
        <f t="array" ref="B74">VLOOKUP(C74:C74,'Entrada de Dados'!$B$121:$F$129,5)</f>
        <v>0</v>
      </c>
      <c r="C74" s="120" t="str">
        <f>'Entrada de Dados'!B125</f>
        <v>57.Falha ao completar tarefas que possuam várias etapas.</v>
      </c>
    </row>
    <row r="75" spans="2:3" ht="16.2" thickBot="1" x14ac:dyDescent="0.35">
      <c r="B75" s="124" t="b" cm="1">
        <f t="array" ref="B75">VLOOKUP(C75:C75,'Entrada de Dados'!$B$121:$F$129,5)</f>
        <v>0</v>
      </c>
      <c r="C75" s="120" t="str">
        <f>'Entrada de Dados'!B126</f>
        <v>58.Tem dificuldade ao imitar demonstrações corretamente (jogos com movimentos e músicas com sequência de movimentos).</v>
      </c>
    </row>
    <row r="76" spans="2:3" ht="16.2" thickBot="1" x14ac:dyDescent="0.35">
      <c r="B76" s="124" t="b" cm="1">
        <f t="array" ref="B76">VLOOKUP(C76:C76,'Entrada de Dados'!$B$121:$F$129,5)</f>
        <v>0</v>
      </c>
      <c r="C76" s="120" t="str">
        <f>'Entrada de Dados'!B127</f>
        <v>59.Tem dificuldade em completar tarefas a partir de um modelo apresentado.</v>
      </c>
    </row>
    <row r="77" spans="2:3" ht="16.2" thickBot="1" x14ac:dyDescent="0.35">
      <c r="B77" s="124" t="b" cm="1">
        <f t="array" ref="B77">VLOOKUP(C77:C77,'Entrada de Dados'!$B$121:$F$129,5)</f>
        <v>0</v>
      </c>
      <c r="C77" s="120" t="str">
        <f>'Entrada de Dados'!B128</f>
        <v>60.Demonstra limitada imaginação e criatividade nas brincadeiras e no recreio (como se fosse incapaz de criar novos jogos).</v>
      </c>
    </row>
    <row r="78" spans="2:3" ht="16.2" thickBot="1" x14ac:dyDescent="0.35">
      <c r="B78" s="124" t="b" cm="1">
        <f t="array" ref="B78">VLOOKUP(C78:C78,'Entrada de Dados'!$B$121:$F$129,5)</f>
        <v>0</v>
      </c>
      <c r="C78" s="120" t="str">
        <f>'Entrada de Dados'!B129</f>
        <v>61.Faz brincadeiras repetitivas durante o recreio; não expande ou altera sua atividade quando lhe é dada a oportunidade.</v>
      </c>
    </row>
    <row r="79" spans="2:3" ht="16.2" thickBot="1" x14ac:dyDescent="0.35">
      <c r="B79" s="125" t="b" cm="1">
        <f t="array" ref="B79">VLOOKUP(C79:C79,'Entrada de Dados'!$B$121:$F$129,5)</f>
        <v>0</v>
      </c>
      <c r="C79" s="132" t="str">
        <f>'Entrada de Dados'!B130</f>
        <v>62.Mostra pouca organização dos materiais na carteira, sobre ela ou em volta dela.</v>
      </c>
    </row>
  </sheetData>
  <autoFilter ref="B2:C78" xr:uid="{99771222-D3A6-CE48-8C04-915145AD306F}"/>
  <pageMargins left="0.7" right="0.7" top="0.75" bottom="0.75" header="0.3" footer="0.3"/>
  <pageSetup paperSize="9" scale="88" fitToHeight="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275B-6D20-B140-845A-5164186CD0C5}">
  <dimension ref="A1:I8"/>
  <sheetViews>
    <sheetView tabSelected="1" zoomScale="157" zoomScaleNormal="157" workbookViewId="0">
      <selection activeCell="J3" sqref="J3"/>
    </sheetView>
  </sheetViews>
  <sheetFormatPr defaultColWidth="11.19921875" defaultRowHeight="15.6" x14ac:dyDescent="0.3"/>
  <cols>
    <col min="1" max="1" width="7.5" customWidth="1"/>
    <col min="2" max="2" width="5" customWidth="1"/>
    <col min="3" max="3" width="4.69921875" customWidth="1"/>
    <col min="4" max="4" width="5.5" customWidth="1"/>
    <col min="5" max="5" width="5.296875" customWidth="1"/>
    <col min="6" max="6" width="4.69921875" customWidth="1"/>
    <col min="7" max="7" width="5.3984375" customWidth="1"/>
    <col min="8" max="9" width="4.59765625" customWidth="1"/>
  </cols>
  <sheetData>
    <row r="1" spans="1:9" ht="16.2" thickBot="1" x14ac:dyDescent="0.35"/>
    <row r="2" spans="1:9" ht="16.2" thickBot="1" x14ac:dyDescent="0.35">
      <c r="B2" s="181" t="s">
        <v>188</v>
      </c>
      <c r="C2" s="182"/>
      <c r="D2" s="182"/>
      <c r="E2" s="182"/>
      <c r="F2" s="182"/>
      <c r="G2" s="182"/>
      <c r="H2" s="182"/>
      <c r="I2" s="183"/>
    </row>
    <row r="3" spans="1:9" ht="16.2" thickBot="1" x14ac:dyDescent="0.35">
      <c r="B3" s="19"/>
      <c r="C3" s="178" t="s">
        <v>35</v>
      </c>
      <c r="D3" s="179"/>
      <c r="E3" s="179"/>
      <c r="F3" s="179"/>
      <c r="G3" s="179"/>
      <c r="H3" s="180"/>
      <c r="I3" s="20"/>
    </row>
    <row r="4" spans="1:9" ht="16.2" thickBot="1" x14ac:dyDescent="0.35">
      <c r="B4" s="61" t="s">
        <v>25</v>
      </c>
      <c r="C4" s="62" t="s">
        <v>34</v>
      </c>
      <c r="D4" s="62" t="s">
        <v>27</v>
      </c>
      <c r="E4" s="62" t="s">
        <v>28</v>
      </c>
      <c r="F4" s="62" t="s">
        <v>29</v>
      </c>
      <c r="G4" s="62" t="s">
        <v>30</v>
      </c>
      <c r="H4" s="63" t="s">
        <v>31</v>
      </c>
      <c r="I4" s="86" t="s">
        <v>32</v>
      </c>
    </row>
    <row r="5" spans="1:9" x14ac:dyDescent="0.3">
      <c r="A5" s="113" t="s">
        <v>189</v>
      </c>
      <c r="B5" s="68">
        <f>'Entrada de Dados'!G44</f>
        <v>18</v>
      </c>
      <c r="C5" s="114">
        <f>'Entrada de Dados'!G56</f>
        <v>7</v>
      </c>
      <c r="D5" s="114">
        <f>'Entrada de Dados'!G68</f>
        <v>7</v>
      </c>
      <c r="E5" s="114">
        <f>'Entrada de Dados'!G81</f>
        <v>8</v>
      </c>
      <c r="F5" s="114">
        <f>'Entrada de Dados'!G102</f>
        <v>8</v>
      </c>
      <c r="G5" s="114">
        <f>'Entrada de Dados'!G116</f>
        <v>12</v>
      </c>
      <c r="H5" s="84">
        <f>'Entrada de Dados'!G131</f>
        <v>11</v>
      </c>
      <c r="I5" s="87">
        <f>SUM(C5:G5)++'Entrada de Dados'!G90</f>
        <v>45</v>
      </c>
    </row>
    <row r="6" spans="1:9" x14ac:dyDescent="0.3">
      <c r="A6" s="64" t="s">
        <v>118</v>
      </c>
      <c r="B6" s="69">
        <v>32</v>
      </c>
      <c r="C6" s="67">
        <v>16</v>
      </c>
      <c r="D6" s="67">
        <v>16</v>
      </c>
      <c r="E6" s="67">
        <v>16</v>
      </c>
      <c r="F6" s="67">
        <v>19</v>
      </c>
      <c r="G6" s="67">
        <v>22</v>
      </c>
      <c r="H6" s="112">
        <v>28</v>
      </c>
      <c r="I6" s="88">
        <f t="shared" ref="I6:I7" si="0">SUM(C6:G6)</f>
        <v>89</v>
      </c>
    </row>
    <row r="7" spans="1:9" x14ac:dyDescent="0.3">
      <c r="A7" s="65" t="s">
        <v>117</v>
      </c>
      <c r="B7" s="69">
        <v>21</v>
      </c>
      <c r="C7" s="70">
        <v>23</v>
      </c>
      <c r="D7" s="70">
        <v>12</v>
      </c>
      <c r="E7" s="70">
        <v>11</v>
      </c>
      <c r="F7" s="70">
        <v>12</v>
      </c>
      <c r="G7" s="70">
        <v>15</v>
      </c>
      <c r="H7" s="112">
        <v>19</v>
      </c>
      <c r="I7" s="88">
        <f t="shared" si="0"/>
        <v>73</v>
      </c>
    </row>
    <row r="8" spans="1:9" ht="16.2" thickBot="1" x14ac:dyDescent="0.35">
      <c r="A8" s="66" t="s">
        <v>99</v>
      </c>
      <c r="B8" s="71">
        <v>22</v>
      </c>
      <c r="C8" s="72">
        <v>11</v>
      </c>
      <c r="D8" s="72">
        <v>10</v>
      </c>
      <c r="E8" s="72">
        <v>10</v>
      </c>
      <c r="F8" s="72">
        <v>11</v>
      </c>
      <c r="G8" s="72">
        <v>14</v>
      </c>
      <c r="H8" s="85">
        <v>18</v>
      </c>
      <c r="I8" s="89">
        <f>SUM(C8:G8)</f>
        <v>56</v>
      </c>
    </row>
  </sheetData>
  <mergeCells count="2">
    <mergeCell ref="C3:H3"/>
    <mergeCell ref="B2:I2"/>
  </mergeCells>
  <pageMargins left="0.7" right="0.7" top="0.75" bottom="0.75" header="0.3" footer="0.3"/>
  <pageSetup paperSize="9" orientation="portrait" horizontalDpi="0" verticalDpi="0" r:id="rId1"/>
  <ignoredErrors>
    <ignoredError sqref="I6:I8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B437-89AF-5640-8641-3944E5FFF63F}">
  <dimension ref="B2:N45"/>
  <sheetViews>
    <sheetView workbookViewId="0">
      <selection activeCell="E10" sqref="E10"/>
    </sheetView>
  </sheetViews>
  <sheetFormatPr defaultColWidth="11.19921875" defaultRowHeight="15.6" x14ac:dyDescent="0.3"/>
  <cols>
    <col min="3" max="4" width="10.796875" style="2"/>
  </cols>
  <sheetData>
    <row r="2" spans="2:14" ht="16.2" thickBot="1" x14ac:dyDescent="0.35"/>
    <row r="3" spans="2:14" ht="16.2" thickBot="1" x14ac:dyDescent="0.35">
      <c r="B3" s="43"/>
      <c r="C3" s="44" t="s">
        <v>23</v>
      </c>
      <c r="D3" s="45" t="s">
        <v>24</v>
      </c>
      <c r="E3" s="44" t="s">
        <v>25</v>
      </c>
      <c r="F3" s="44" t="s">
        <v>26</v>
      </c>
      <c r="G3" s="44" t="s">
        <v>27</v>
      </c>
      <c r="H3" s="44" t="s">
        <v>28</v>
      </c>
      <c r="I3" s="44" t="s">
        <v>29</v>
      </c>
      <c r="J3" s="44" t="s">
        <v>30</v>
      </c>
      <c r="K3" s="44" t="s">
        <v>31</v>
      </c>
      <c r="L3" s="45" t="s">
        <v>32</v>
      </c>
      <c r="M3" s="44" t="s">
        <v>24</v>
      </c>
      <c r="N3" s="46" t="s">
        <v>23</v>
      </c>
    </row>
    <row r="4" spans="2:14" ht="16.2" thickTop="1" x14ac:dyDescent="0.3">
      <c r="B4" s="187" t="s">
        <v>118</v>
      </c>
      <c r="C4" s="47"/>
      <c r="D4" s="28">
        <v>80</v>
      </c>
      <c r="E4" s="30" t="s">
        <v>185</v>
      </c>
      <c r="F4" s="30" t="s">
        <v>36</v>
      </c>
      <c r="G4" s="30" t="s">
        <v>41</v>
      </c>
      <c r="H4" s="30" t="s">
        <v>42</v>
      </c>
      <c r="I4" s="30" t="s">
        <v>43</v>
      </c>
      <c r="J4" s="30" t="s">
        <v>36</v>
      </c>
      <c r="K4" s="30" t="s">
        <v>44</v>
      </c>
      <c r="L4" s="42" t="s">
        <v>45</v>
      </c>
      <c r="M4" s="47">
        <v>80</v>
      </c>
      <c r="N4" s="48"/>
    </row>
    <row r="5" spans="2:14" x14ac:dyDescent="0.3">
      <c r="B5" s="188"/>
      <c r="C5" s="47"/>
      <c r="D5" s="28">
        <v>79</v>
      </c>
      <c r="E5" s="30"/>
      <c r="F5" s="30" t="s">
        <v>37</v>
      </c>
      <c r="G5" s="30" t="s">
        <v>46</v>
      </c>
      <c r="H5" s="30" t="s">
        <v>47</v>
      </c>
      <c r="I5" s="30" t="s">
        <v>48</v>
      </c>
      <c r="J5" s="30" t="s">
        <v>49</v>
      </c>
      <c r="K5" s="30" t="s">
        <v>53</v>
      </c>
      <c r="L5" s="29" t="s">
        <v>50</v>
      </c>
      <c r="M5" s="47">
        <v>79</v>
      </c>
      <c r="N5" s="48"/>
    </row>
    <row r="6" spans="2:14" x14ac:dyDescent="0.3">
      <c r="B6" s="188"/>
      <c r="C6" s="47"/>
      <c r="D6" s="28">
        <v>78</v>
      </c>
      <c r="E6" s="30" t="s">
        <v>186</v>
      </c>
      <c r="F6" s="30">
        <v>32</v>
      </c>
      <c r="G6" s="49">
        <v>26</v>
      </c>
      <c r="H6" s="30" t="s">
        <v>48</v>
      </c>
      <c r="I6" s="30" t="s">
        <v>52</v>
      </c>
      <c r="J6" s="30" t="s">
        <v>52</v>
      </c>
      <c r="K6" s="30"/>
      <c r="L6" s="29" t="s">
        <v>55</v>
      </c>
      <c r="M6" s="47">
        <v>78</v>
      </c>
      <c r="N6" s="48"/>
    </row>
    <row r="7" spans="2:14" x14ac:dyDescent="0.3">
      <c r="B7" s="188"/>
      <c r="C7" s="47"/>
      <c r="D7" s="28">
        <v>77</v>
      </c>
      <c r="E7" s="30" t="s">
        <v>187</v>
      </c>
      <c r="F7" s="30">
        <v>31</v>
      </c>
      <c r="G7" s="30" t="s">
        <v>51</v>
      </c>
      <c r="H7" s="30" t="s">
        <v>52</v>
      </c>
      <c r="I7" s="30" t="s">
        <v>57</v>
      </c>
      <c r="J7" s="30" t="s">
        <v>53</v>
      </c>
      <c r="K7" s="30" t="s">
        <v>54</v>
      </c>
      <c r="L7" s="29" t="s">
        <v>59</v>
      </c>
      <c r="M7" s="47">
        <v>77</v>
      </c>
      <c r="N7" s="48"/>
    </row>
    <row r="8" spans="2:14" x14ac:dyDescent="0.3">
      <c r="B8" s="188"/>
      <c r="C8" s="47"/>
      <c r="D8" s="28">
        <v>76</v>
      </c>
      <c r="E8" s="30" t="s">
        <v>47</v>
      </c>
      <c r="F8" s="30">
        <v>30</v>
      </c>
      <c r="G8" s="30" t="s">
        <v>56</v>
      </c>
      <c r="H8" s="49"/>
      <c r="I8" s="30" t="s">
        <v>100</v>
      </c>
      <c r="J8" s="30" t="s">
        <v>101</v>
      </c>
      <c r="K8" s="30"/>
      <c r="L8" s="29" t="s">
        <v>102</v>
      </c>
      <c r="M8" s="47">
        <v>76</v>
      </c>
      <c r="N8" s="48"/>
    </row>
    <row r="9" spans="2:14" x14ac:dyDescent="0.3">
      <c r="B9" s="188"/>
      <c r="C9" s="47"/>
      <c r="D9" s="28">
        <v>75</v>
      </c>
      <c r="E9" s="30"/>
      <c r="F9" s="30" t="s">
        <v>38</v>
      </c>
      <c r="G9" s="30" t="s">
        <v>60</v>
      </c>
      <c r="H9" s="30" t="s">
        <v>57</v>
      </c>
      <c r="I9" s="30" t="s">
        <v>54</v>
      </c>
      <c r="J9" s="30" t="s">
        <v>46</v>
      </c>
      <c r="K9" s="30" t="s">
        <v>58</v>
      </c>
      <c r="L9" s="29" t="s">
        <v>62</v>
      </c>
      <c r="M9" s="47">
        <v>75</v>
      </c>
      <c r="N9" s="48"/>
    </row>
    <row r="10" spans="2:14" x14ac:dyDescent="0.3">
      <c r="B10" s="188"/>
      <c r="C10" s="47" t="s">
        <v>33</v>
      </c>
      <c r="D10" s="28">
        <v>74</v>
      </c>
      <c r="E10" s="30"/>
      <c r="F10" s="30">
        <v>27</v>
      </c>
      <c r="G10" s="49"/>
      <c r="H10" s="30" t="s">
        <v>64</v>
      </c>
      <c r="I10" s="30" t="s">
        <v>58</v>
      </c>
      <c r="J10" s="30" t="s">
        <v>69</v>
      </c>
      <c r="K10" s="30" t="s">
        <v>61</v>
      </c>
      <c r="L10" s="29" t="s">
        <v>66</v>
      </c>
      <c r="M10" s="47">
        <v>74</v>
      </c>
      <c r="N10" s="48" t="s">
        <v>33</v>
      </c>
    </row>
    <row r="11" spans="2:14" x14ac:dyDescent="0.3">
      <c r="B11" s="188"/>
      <c r="C11" s="47">
        <v>99</v>
      </c>
      <c r="D11" s="28">
        <v>73</v>
      </c>
      <c r="E11" s="30">
        <v>31</v>
      </c>
      <c r="F11" s="30"/>
      <c r="G11" s="30" t="s">
        <v>63</v>
      </c>
      <c r="H11" s="30" t="s">
        <v>38</v>
      </c>
      <c r="I11" s="30" t="s">
        <v>61</v>
      </c>
      <c r="J11" s="30"/>
      <c r="K11" s="30" t="s">
        <v>65</v>
      </c>
      <c r="L11" s="29" t="s">
        <v>103</v>
      </c>
      <c r="M11" s="47">
        <v>73</v>
      </c>
      <c r="N11" s="48">
        <v>99</v>
      </c>
    </row>
    <row r="12" spans="2:14" x14ac:dyDescent="0.3">
      <c r="B12" s="188"/>
      <c r="C12" s="47"/>
      <c r="D12" s="28">
        <v>72</v>
      </c>
      <c r="E12" s="30"/>
      <c r="F12" s="30">
        <v>26</v>
      </c>
      <c r="G12" s="30" t="s">
        <v>67</v>
      </c>
      <c r="H12" s="30" t="s">
        <v>65</v>
      </c>
      <c r="I12" s="30" t="s">
        <v>65</v>
      </c>
      <c r="J12" s="30" t="s">
        <v>51</v>
      </c>
      <c r="K12" s="30" t="s">
        <v>69</v>
      </c>
      <c r="L12" s="29" t="s">
        <v>70</v>
      </c>
      <c r="M12" s="47">
        <v>72</v>
      </c>
      <c r="N12" s="48"/>
    </row>
    <row r="13" spans="2:14" x14ac:dyDescent="0.3">
      <c r="B13" s="188"/>
      <c r="C13" s="47">
        <v>98</v>
      </c>
      <c r="D13" s="28">
        <v>71</v>
      </c>
      <c r="E13" s="30">
        <v>30</v>
      </c>
      <c r="F13" s="30">
        <v>25</v>
      </c>
      <c r="G13" s="30" t="s">
        <v>71</v>
      </c>
      <c r="H13" s="30" t="s">
        <v>69</v>
      </c>
      <c r="I13" s="30" t="s">
        <v>69</v>
      </c>
      <c r="J13" s="30" t="s">
        <v>68</v>
      </c>
      <c r="K13" s="30"/>
      <c r="L13" s="29" t="s">
        <v>73</v>
      </c>
      <c r="M13" s="47">
        <v>71</v>
      </c>
      <c r="N13" s="48">
        <v>98</v>
      </c>
    </row>
    <row r="14" spans="2:14" ht="16.2" thickBot="1" x14ac:dyDescent="0.35">
      <c r="B14" s="189"/>
      <c r="C14" s="47"/>
      <c r="D14" s="28">
        <v>70</v>
      </c>
      <c r="E14" s="30">
        <v>29</v>
      </c>
      <c r="F14" s="30">
        <v>24</v>
      </c>
      <c r="G14" s="49"/>
      <c r="H14" s="30"/>
      <c r="I14" s="30" t="s">
        <v>51</v>
      </c>
      <c r="J14" s="30"/>
      <c r="K14" s="30" t="s">
        <v>51</v>
      </c>
      <c r="L14" s="29" t="s">
        <v>75</v>
      </c>
      <c r="M14" s="47">
        <v>70</v>
      </c>
      <c r="N14" s="48"/>
    </row>
    <row r="15" spans="2:14" x14ac:dyDescent="0.3">
      <c r="B15" s="187" t="s">
        <v>117</v>
      </c>
      <c r="C15" s="50">
        <v>97</v>
      </c>
      <c r="D15" s="31">
        <v>69</v>
      </c>
      <c r="E15" s="51">
        <v>28</v>
      </c>
      <c r="F15" s="51">
        <v>23</v>
      </c>
      <c r="G15" s="51" t="s">
        <v>72</v>
      </c>
      <c r="H15" s="51" t="s">
        <v>51</v>
      </c>
      <c r="I15" s="51" t="s">
        <v>68</v>
      </c>
      <c r="J15" s="51" t="s">
        <v>56</v>
      </c>
      <c r="K15" s="51" t="s">
        <v>68</v>
      </c>
      <c r="L15" s="32" t="s">
        <v>78</v>
      </c>
      <c r="M15" s="50">
        <v>69</v>
      </c>
      <c r="N15" s="52">
        <v>97</v>
      </c>
    </row>
    <row r="16" spans="2:14" x14ac:dyDescent="0.3">
      <c r="B16" s="188"/>
      <c r="C16" s="50">
        <v>96</v>
      </c>
      <c r="D16" s="31">
        <v>68</v>
      </c>
      <c r="E16" s="51"/>
      <c r="F16" s="51" t="s">
        <v>39</v>
      </c>
      <c r="G16" s="51" t="s">
        <v>74</v>
      </c>
      <c r="H16" s="51" t="s">
        <v>98</v>
      </c>
      <c r="I16" s="51" t="s">
        <v>56</v>
      </c>
      <c r="J16" s="51" t="s">
        <v>60</v>
      </c>
      <c r="K16" s="51"/>
      <c r="L16" s="32" t="s">
        <v>80</v>
      </c>
      <c r="M16" s="50">
        <v>68</v>
      </c>
      <c r="N16" s="52">
        <v>96</v>
      </c>
    </row>
    <row r="17" spans="2:14" x14ac:dyDescent="0.3">
      <c r="B17" s="188"/>
      <c r="C17" s="50"/>
      <c r="D17" s="31">
        <v>67</v>
      </c>
      <c r="E17" s="51">
        <v>27</v>
      </c>
      <c r="F17" s="51">
        <v>20</v>
      </c>
      <c r="G17" s="51" t="s">
        <v>76</v>
      </c>
      <c r="H17" s="51" t="s">
        <v>60</v>
      </c>
      <c r="I17" s="51" t="s">
        <v>60</v>
      </c>
      <c r="J17" s="51"/>
      <c r="K17" s="51" t="s">
        <v>56</v>
      </c>
      <c r="L17" s="32" t="s">
        <v>104</v>
      </c>
      <c r="M17" s="50">
        <v>67</v>
      </c>
      <c r="N17" s="52"/>
    </row>
    <row r="18" spans="2:14" x14ac:dyDescent="0.3">
      <c r="B18" s="188"/>
      <c r="C18" s="50">
        <v>95</v>
      </c>
      <c r="D18" s="31">
        <v>66</v>
      </c>
      <c r="E18" s="51">
        <v>26</v>
      </c>
      <c r="F18" s="51"/>
      <c r="G18" s="51" t="s">
        <v>77</v>
      </c>
      <c r="H18" s="51" t="s">
        <v>63</v>
      </c>
      <c r="I18" s="51" t="s">
        <v>63</v>
      </c>
      <c r="J18" s="51" t="s">
        <v>63</v>
      </c>
      <c r="K18" s="51" t="s">
        <v>60</v>
      </c>
      <c r="L18" s="32" t="s">
        <v>105</v>
      </c>
      <c r="M18" s="50">
        <v>66</v>
      </c>
      <c r="N18" s="52">
        <v>95</v>
      </c>
    </row>
    <row r="19" spans="2:14" x14ac:dyDescent="0.3">
      <c r="B19" s="188"/>
      <c r="C19" s="50">
        <v>93</v>
      </c>
      <c r="D19" s="31">
        <v>65</v>
      </c>
      <c r="E19" s="51">
        <v>25</v>
      </c>
      <c r="F19" s="51">
        <v>19</v>
      </c>
      <c r="G19" s="53"/>
      <c r="H19" s="51" t="s">
        <v>67</v>
      </c>
      <c r="I19" s="51" t="s">
        <v>67</v>
      </c>
      <c r="J19" s="51" t="s">
        <v>67</v>
      </c>
      <c r="K19" s="51" t="s">
        <v>63</v>
      </c>
      <c r="L19" s="32" t="s">
        <v>83</v>
      </c>
      <c r="M19" s="50">
        <v>65</v>
      </c>
      <c r="N19" s="52">
        <v>93</v>
      </c>
    </row>
    <row r="20" spans="2:14" x14ac:dyDescent="0.3">
      <c r="B20" s="188"/>
      <c r="C20" s="50">
        <v>92</v>
      </c>
      <c r="D20" s="31">
        <v>64</v>
      </c>
      <c r="E20" s="51">
        <v>24</v>
      </c>
      <c r="F20" s="51">
        <v>18</v>
      </c>
      <c r="G20" s="51" t="s">
        <v>79</v>
      </c>
      <c r="H20" s="51" t="s">
        <v>71</v>
      </c>
      <c r="I20" s="51" t="s">
        <v>71</v>
      </c>
      <c r="J20" s="51" t="s">
        <v>71</v>
      </c>
      <c r="K20" s="51" t="s">
        <v>67</v>
      </c>
      <c r="L20" s="32" t="s">
        <v>106</v>
      </c>
      <c r="M20" s="50">
        <v>64</v>
      </c>
      <c r="N20" s="52">
        <v>92</v>
      </c>
    </row>
    <row r="21" spans="2:14" x14ac:dyDescent="0.3">
      <c r="B21" s="188"/>
      <c r="C21" s="50">
        <v>90</v>
      </c>
      <c r="D21" s="31">
        <v>63</v>
      </c>
      <c r="E21" s="51">
        <v>23</v>
      </c>
      <c r="F21" s="51">
        <v>17</v>
      </c>
      <c r="G21" s="51" t="s">
        <v>81</v>
      </c>
      <c r="H21" s="51" t="s">
        <v>72</v>
      </c>
      <c r="I21" s="51" t="s">
        <v>72</v>
      </c>
      <c r="J21" s="51" t="s">
        <v>72</v>
      </c>
      <c r="K21" s="51" t="s">
        <v>71</v>
      </c>
      <c r="L21" s="32" t="s">
        <v>107</v>
      </c>
      <c r="M21" s="50">
        <v>63</v>
      </c>
      <c r="N21" s="52">
        <v>90</v>
      </c>
    </row>
    <row r="22" spans="2:14" x14ac:dyDescent="0.3">
      <c r="B22" s="188"/>
      <c r="C22" s="50">
        <v>88</v>
      </c>
      <c r="D22" s="31">
        <v>62</v>
      </c>
      <c r="E22" s="51">
        <v>22</v>
      </c>
      <c r="F22" s="51"/>
      <c r="G22" s="51" t="s">
        <v>82</v>
      </c>
      <c r="H22" s="53"/>
      <c r="I22" s="53"/>
      <c r="J22" s="51"/>
      <c r="K22" s="51"/>
      <c r="L22" s="32" t="s">
        <v>86</v>
      </c>
      <c r="M22" s="50">
        <v>62</v>
      </c>
      <c r="N22" s="52">
        <v>88</v>
      </c>
    </row>
    <row r="23" spans="2:14" x14ac:dyDescent="0.3">
      <c r="B23" s="188"/>
      <c r="C23" s="50">
        <v>86</v>
      </c>
      <c r="D23" s="31">
        <v>61</v>
      </c>
      <c r="E23" s="51"/>
      <c r="F23" s="51">
        <v>16</v>
      </c>
      <c r="G23" s="53"/>
      <c r="H23" s="51" t="s">
        <v>74</v>
      </c>
      <c r="I23" s="51" t="s">
        <v>74</v>
      </c>
      <c r="J23" s="51" t="s">
        <v>74</v>
      </c>
      <c r="K23" s="51" t="s">
        <v>72</v>
      </c>
      <c r="L23" s="32" t="s">
        <v>88</v>
      </c>
      <c r="M23" s="50">
        <v>61</v>
      </c>
      <c r="N23" s="52">
        <v>86</v>
      </c>
    </row>
    <row r="24" spans="2:14" ht="16.2" thickBot="1" x14ac:dyDescent="0.35">
      <c r="B24" s="189"/>
      <c r="C24" s="50">
        <v>84</v>
      </c>
      <c r="D24" s="31">
        <v>60</v>
      </c>
      <c r="E24" s="51">
        <v>21</v>
      </c>
      <c r="F24" s="51"/>
      <c r="G24" s="53"/>
      <c r="H24" s="51"/>
      <c r="I24" s="51" t="s">
        <v>76</v>
      </c>
      <c r="J24" s="51"/>
      <c r="K24" s="51" t="s">
        <v>74</v>
      </c>
      <c r="L24" s="32" t="s">
        <v>90</v>
      </c>
      <c r="M24" s="50">
        <v>60</v>
      </c>
      <c r="N24" s="52">
        <v>84</v>
      </c>
    </row>
    <row r="25" spans="2:14" x14ac:dyDescent="0.3">
      <c r="B25" s="184" t="s">
        <v>99</v>
      </c>
      <c r="C25" s="35">
        <v>82</v>
      </c>
      <c r="D25" s="33">
        <v>59</v>
      </c>
      <c r="E25" s="36"/>
      <c r="F25" s="36">
        <v>15</v>
      </c>
      <c r="G25" s="36" t="s">
        <v>84</v>
      </c>
      <c r="H25" s="36" t="s">
        <v>76</v>
      </c>
      <c r="I25" s="36" t="s">
        <v>77</v>
      </c>
      <c r="J25" s="36" t="s">
        <v>76</v>
      </c>
      <c r="K25" s="36"/>
      <c r="L25" s="34" t="s">
        <v>91</v>
      </c>
      <c r="M25" s="35">
        <v>59</v>
      </c>
      <c r="N25" s="54">
        <v>82</v>
      </c>
    </row>
    <row r="26" spans="2:14" x14ac:dyDescent="0.3">
      <c r="B26" s="185"/>
      <c r="C26" s="35">
        <v>79</v>
      </c>
      <c r="D26" s="33">
        <v>58</v>
      </c>
      <c r="E26" s="36">
        <v>20</v>
      </c>
      <c r="F26" s="36"/>
      <c r="G26" s="55"/>
      <c r="H26" s="36"/>
      <c r="I26" s="55"/>
      <c r="J26" s="36"/>
      <c r="K26" s="36" t="s">
        <v>76</v>
      </c>
      <c r="L26" s="34" t="s">
        <v>92</v>
      </c>
      <c r="M26" s="35">
        <v>58</v>
      </c>
      <c r="N26" s="54">
        <v>79</v>
      </c>
    </row>
    <row r="27" spans="2:14" x14ac:dyDescent="0.3">
      <c r="B27" s="185"/>
      <c r="C27" s="35">
        <v>76</v>
      </c>
      <c r="D27" s="33">
        <v>57</v>
      </c>
      <c r="E27" s="36"/>
      <c r="F27" s="36">
        <v>14</v>
      </c>
      <c r="G27" s="55"/>
      <c r="H27" s="36" t="s">
        <v>77</v>
      </c>
      <c r="I27" s="36" t="s">
        <v>79</v>
      </c>
      <c r="J27" s="36" t="s">
        <v>77</v>
      </c>
      <c r="K27" s="36" t="s">
        <v>77</v>
      </c>
      <c r="L27" s="34" t="s">
        <v>93</v>
      </c>
      <c r="M27" s="35">
        <v>57</v>
      </c>
      <c r="N27" s="54">
        <v>76</v>
      </c>
    </row>
    <row r="28" spans="2:14" x14ac:dyDescent="0.3">
      <c r="B28" s="185"/>
      <c r="C28" s="35">
        <v>73</v>
      </c>
      <c r="D28" s="33">
        <v>56</v>
      </c>
      <c r="E28" s="36">
        <v>19</v>
      </c>
      <c r="F28" s="36"/>
      <c r="G28" s="36" t="s">
        <v>85</v>
      </c>
      <c r="H28" s="36"/>
      <c r="I28" s="55"/>
      <c r="J28" s="36"/>
      <c r="K28" s="36"/>
      <c r="L28" s="34" t="s">
        <v>94</v>
      </c>
      <c r="M28" s="35">
        <v>56</v>
      </c>
      <c r="N28" s="54">
        <v>73</v>
      </c>
    </row>
    <row r="29" spans="2:14" x14ac:dyDescent="0.3">
      <c r="B29" s="185"/>
      <c r="C29" s="35">
        <v>69</v>
      </c>
      <c r="D29" s="33">
        <v>55</v>
      </c>
      <c r="E29" s="36">
        <v>18</v>
      </c>
      <c r="F29" s="36"/>
      <c r="G29" s="55"/>
      <c r="H29" s="55">
        <v>14</v>
      </c>
      <c r="I29" s="36" t="s">
        <v>81</v>
      </c>
      <c r="J29" s="36"/>
      <c r="K29" s="36" t="s">
        <v>79</v>
      </c>
      <c r="L29" s="34" t="s">
        <v>95</v>
      </c>
      <c r="M29" s="35">
        <v>55</v>
      </c>
      <c r="N29" s="54">
        <v>69</v>
      </c>
    </row>
    <row r="30" spans="2:14" x14ac:dyDescent="0.3">
      <c r="B30" s="185"/>
      <c r="C30" s="35">
        <v>66</v>
      </c>
      <c r="D30" s="33">
        <v>54</v>
      </c>
      <c r="E30" s="36"/>
      <c r="F30" s="36">
        <v>13</v>
      </c>
      <c r="G30" s="55"/>
      <c r="H30" s="55"/>
      <c r="I30" s="55"/>
      <c r="J30" s="36" t="s">
        <v>79</v>
      </c>
      <c r="K30" s="36"/>
      <c r="L30" s="34" t="s">
        <v>96</v>
      </c>
      <c r="M30" s="35">
        <v>54</v>
      </c>
      <c r="N30" s="54">
        <v>66</v>
      </c>
    </row>
    <row r="31" spans="2:14" x14ac:dyDescent="0.3">
      <c r="B31" s="185"/>
      <c r="C31" s="35">
        <v>62</v>
      </c>
      <c r="D31" s="33">
        <v>53</v>
      </c>
      <c r="E31" s="36">
        <v>17</v>
      </c>
      <c r="F31" s="36"/>
      <c r="G31" s="55"/>
      <c r="H31" s="36"/>
      <c r="I31" s="55"/>
      <c r="J31" s="36"/>
      <c r="K31" s="36" t="s">
        <v>81</v>
      </c>
      <c r="L31" s="34" t="s">
        <v>97</v>
      </c>
      <c r="M31" s="35">
        <v>53</v>
      </c>
      <c r="N31" s="54">
        <v>62</v>
      </c>
    </row>
    <row r="32" spans="2:14" x14ac:dyDescent="0.3">
      <c r="B32" s="185"/>
      <c r="C32" s="35">
        <v>58</v>
      </c>
      <c r="D32" s="33">
        <v>52</v>
      </c>
      <c r="E32" s="36"/>
      <c r="F32" s="36"/>
      <c r="G32" s="36" t="s">
        <v>87</v>
      </c>
      <c r="H32" s="36" t="s">
        <v>81</v>
      </c>
      <c r="I32" s="36" t="s">
        <v>82</v>
      </c>
      <c r="J32" s="36"/>
      <c r="K32" s="36"/>
      <c r="L32" s="34" t="s">
        <v>108</v>
      </c>
      <c r="M32" s="35">
        <v>52</v>
      </c>
      <c r="N32" s="54">
        <v>58</v>
      </c>
    </row>
    <row r="33" spans="2:14" x14ac:dyDescent="0.3">
      <c r="B33" s="185"/>
      <c r="C33" s="35">
        <v>54</v>
      </c>
      <c r="D33" s="33">
        <v>51</v>
      </c>
      <c r="E33" s="36">
        <v>16</v>
      </c>
      <c r="F33" s="36"/>
      <c r="G33" s="55"/>
      <c r="H33" s="36"/>
      <c r="I33" s="55"/>
      <c r="J33" s="36" t="s">
        <v>81</v>
      </c>
      <c r="K33" s="36" t="s">
        <v>82</v>
      </c>
      <c r="L33" s="34" t="s">
        <v>109</v>
      </c>
      <c r="M33" s="35">
        <v>51</v>
      </c>
      <c r="N33" s="54">
        <v>54</v>
      </c>
    </row>
    <row r="34" spans="2:14" x14ac:dyDescent="0.3">
      <c r="B34" s="185"/>
      <c r="C34" s="35">
        <v>50</v>
      </c>
      <c r="D34" s="33">
        <v>50</v>
      </c>
      <c r="E34" s="36"/>
      <c r="F34" s="36">
        <v>12</v>
      </c>
      <c r="G34" s="36"/>
      <c r="H34" s="36"/>
      <c r="I34" s="55"/>
      <c r="J34" s="36"/>
      <c r="K34" s="36"/>
      <c r="L34" s="34" t="s">
        <v>110</v>
      </c>
      <c r="M34" s="35">
        <v>50</v>
      </c>
      <c r="N34" s="54">
        <v>50</v>
      </c>
    </row>
    <row r="35" spans="2:14" x14ac:dyDescent="0.3">
      <c r="B35" s="185"/>
      <c r="C35" s="35">
        <v>46</v>
      </c>
      <c r="D35" s="33">
        <v>49</v>
      </c>
      <c r="E35" s="36">
        <v>15</v>
      </c>
      <c r="F35" s="36"/>
      <c r="G35" s="36"/>
      <c r="H35" s="36"/>
      <c r="I35" s="36"/>
      <c r="J35" s="36"/>
      <c r="K35" s="36"/>
      <c r="L35" s="34"/>
      <c r="M35" s="35">
        <v>49</v>
      </c>
      <c r="N35" s="54">
        <v>46</v>
      </c>
    </row>
    <row r="36" spans="2:14" x14ac:dyDescent="0.3">
      <c r="B36" s="185"/>
      <c r="C36" s="35">
        <v>42</v>
      </c>
      <c r="D36" s="33">
        <v>48</v>
      </c>
      <c r="E36" s="36"/>
      <c r="F36" s="36"/>
      <c r="G36" s="36"/>
      <c r="H36" s="36"/>
      <c r="I36" s="36" t="s">
        <v>84</v>
      </c>
      <c r="J36" s="36"/>
      <c r="K36" s="36" t="s">
        <v>84</v>
      </c>
      <c r="L36" s="34" t="s">
        <v>111</v>
      </c>
      <c r="M36" s="35">
        <v>48</v>
      </c>
      <c r="N36" s="54">
        <v>42</v>
      </c>
    </row>
    <row r="37" spans="2:14" x14ac:dyDescent="0.3">
      <c r="B37" s="185"/>
      <c r="C37" s="35">
        <v>38</v>
      </c>
      <c r="D37" s="33">
        <v>47</v>
      </c>
      <c r="E37" s="36">
        <v>14</v>
      </c>
      <c r="F37" s="36"/>
      <c r="G37" s="36"/>
      <c r="H37" s="36" t="s">
        <v>82</v>
      </c>
      <c r="I37" s="55"/>
      <c r="J37" s="36" t="s">
        <v>82</v>
      </c>
      <c r="K37" s="36"/>
      <c r="L37" s="34" t="s">
        <v>112</v>
      </c>
      <c r="M37" s="35">
        <v>47</v>
      </c>
      <c r="N37" s="54">
        <v>38</v>
      </c>
    </row>
    <row r="38" spans="2:14" x14ac:dyDescent="0.3">
      <c r="B38" s="185"/>
      <c r="C38" s="35">
        <v>34</v>
      </c>
      <c r="D38" s="33">
        <v>46</v>
      </c>
      <c r="E38" s="36"/>
      <c r="F38" s="36"/>
      <c r="G38" s="36"/>
      <c r="H38" s="36"/>
      <c r="I38" s="36"/>
      <c r="J38" s="36"/>
      <c r="K38" s="36"/>
      <c r="L38" s="34" t="s">
        <v>113</v>
      </c>
      <c r="M38" s="35">
        <v>46</v>
      </c>
      <c r="N38" s="54">
        <v>34</v>
      </c>
    </row>
    <row r="39" spans="2:14" x14ac:dyDescent="0.3">
      <c r="B39" s="185"/>
      <c r="C39" s="35">
        <v>31</v>
      </c>
      <c r="D39" s="33">
        <v>45</v>
      </c>
      <c r="E39" s="36">
        <v>13</v>
      </c>
      <c r="F39" s="36"/>
      <c r="G39" s="36"/>
      <c r="H39" s="36"/>
      <c r="I39" s="36"/>
      <c r="J39" s="36"/>
      <c r="K39" s="36" t="s">
        <v>85</v>
      </c>
      <c r="L39" s="34"/>
      <c r="M39" s="35">
        <v>45</v>
      </c>
      <c r="N39" s="54">
        <v>31</v>
      </c>
    </row>
    <row r="40" spans="2:14" x14ac:dyDescent="0.3">
      <c r="B40" s="185"/>
      <c r="C40" s="35">
        <v>27</v>
      </c>
      <c r="D40" s="33">
        <v>44</v>
      </c>
      <c r="E40" s="36"/>
      <c r="F40" s="36"/>
      <c r="G40" s="36"/>
      <c r="H40" s="36"/>
      <c r="I40" s="36"/>
      <c r="J40" s="36"/>
      <c r="K40" s="36"/>
      <c r="L40" s="34" t="s">
        <v>114</v>
      </c>
      <c r="M40" s="35">
        <v>44</v>
      </c>
      <c r="N40" s="54">
        <v>27</v>
      </c>
    </row>
    <row r="41" spans="2:14" x14ac:dyDescent="0.3">
      <c r="B41" s="185"/>
      <c r="C41" s="35">
        <v>24</v>
      </c>
      <c r="D41" s="33">
        <v>43</v>
      </c>
      <c r="E41" s="36">
        <v>12</v>
      </c>
      <c r="F41" s="36"/>
      <c r="G41" s="36" t="s">
        <v>89</v>
      </c>
      <c r="H41" s="36"/>
      <c r="I41" s="36"/>
      <c r="J41" s="36"/>
      <c r="K41" s="36"/>
      <c r="L41" s="34"/>
      <c r="M41" s="35">
        <v>43</v>
      </c>
      <c r="N41" s="54">
        <v>24</v>
      </c>
    </row>
    <row r="42" spans="2:14" x14ac:dyDescent="0.3">
      <c r="B42" s="185"/>
      <c r="C42" s="35">
        <v>21</v>
      </c>
      <c r="D42" s="33">
        <v>42</v>
      </c>
      <c r="E42" s="36"/>
      <c r="F42" s="36"/>
      <c r="G42" s="36"/>
      <c r="H42" s="36"/>
      <c r="I42" s="36"/>
      <c r="J42" s="36"/>
      <c r="K42" s="36"/>
      <c r="L42" s="34" t="s">
        <v>115</v>
      </c>
      <c r="M42" s="35">
        <v>42</v>
      </c>
      <c r="N42" s="54">
        <v>21</v>
      </c>
    </row>
    <row r="43" spans="2:14" x14ac:dyDescent="0.3">
      <c r="B43" s="185"/>
      <c r="C43" s="35">
        <v>18</v>
      </c>
      <c r="D43" s="33">
        <v>41</v>
      </c>
      <c r="E43" s="36"/>
      <c r="F43" s="36">
        <v>11</v>
      </c>
      <c r="G43" s="36"/>
      <c r="H43" s="36"/>
      <c r="I43" s="36"/>
      <c r="J43" s="36"/>
      <c r="K43" s="36"/>
      <c r="L43" s="34"/>
      <c r="M43" s="35">
        <v>41</v>
      </c>
      <c r="N43" s="54">
        <v>18</v>
      </c>
    </row>
    <row r="44" spans="2:14" ht="16.2" thickBot="1" x14ac:dyDescent="0.35">
      <c r="B44" s="186"/>
      <c r="C44" s="37">
        <v>16</v>
      </c>
      <c r="D44" s="38">
        <v>40</v>
      </c>
      <c r="E44" s="39" t="s">
        <v>40</v>
      </c>
      <c r="F44" s="40"/>
      <c r="G44" s="40"/>
      <c r="H44" s="40" t="s">
        <v>84</v>
      </c>
      <c r="I44" s="40" t="s">
        <v>85</v>
      </c>
      <c r="J44" s="40" t="s">
        <v>84</v>
      </c>
      <c r="K44" s="40" t="s">
        <v>87</v>
      </c>
      <c r="L44" s="41" t="s">
        <v>116</v>
      </c>
      <c r="M44" s="37">
        <v>40</v>
      </c>
      <c r="N44" s="56">
        <v>16</v>
      </c>
    </row>
    <row r="45" spans="2:14" ht="16.2" thickBot="1" x14ac:dyDescent="0.35">
      <c r="B45" s="57"/>
      <c r="C45" s="58" t="s">
        <v>23</v>
      </c>
      <c r="D45" s="59" t="s">
        <v>24</v>
      </c>
      <c r="E45" s="58" t="s">
        <v>25</v>
      </c>
      <c r="F45" s="58" t="s">
        <v>26</v>
      </c>
      <c r="G45" s="58" t="s">
        <v>27</v>
      </c>
      <c r="H45" s="58" t="s">
        <v>28</v>
      </c>
      <c r="I45" s="58" t="s">
        <v>29</v>
      </c>
      <c r="J45" s="58" t="s">
        <v>30</v>
      </c>
      <c r="K45" s="58" t="s">
        <v>31</v>
      </c>
      <c r="L45" s="59" t="s">
        <v>32</v>
      </c>
      <c r="M45" s="58" t="s">
        <v>24</v>
      </c>
      <c r="N45" s="60" t="s">
        <v>23</v>
      </c>
    </row>
  </sheetData>
  <mergeCells count="3">
    <mergeCell ref="B25:B44"/>
    <mergeCell ref="B15:B24"/>
    <mergeCell ref="B4:B14"/>
  </mergeCells>
  <phoneticPr fontId="6" type="noConversion"/>
  <pageMargins left="0.7" right="0.7" top="0.75" bottom="0.75" header="0.3" footer="0.3"/>
  <pageSetup paperSize="9" orientation="portrait" horizontalDpi="0" verticalDpi="0"/>
  <ignoredErrors>
    <ignoredError sqref="J5 I6:J6 G7:I7 K7 G8:G9 I8 H9:I9 K9 I10:K10 G11:G13 I11 K11 H12:K12 H13:J13 I14 K14 G15:K15 G16:G18 I16:J16 H17:I17 K17 H18:K19 G20:K21 G22 H23:K23 I24 K24 G25:J25 K26 H27:K27 G28 I29 K29:L29 J30 L30 K31 G32:I32 L32 J33:L33 L34 I36 K36:L36 H37 J37 L37:L38 K39 L40 G41 L42 H44:K44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Entrada de Dados</vt:lpstr>
      <vt:lpstr>Plano</vt:lpstr>
      <vt:lpstr>Gráfico</vt:lpstr>
      <vt:lpstr>TAB. REFERÊNCIA</vt:lpstr>
      <vt:lpstr>Plano!Print_Area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Solange Duarte Aguiar de Oliveira</cp:lastModifiedBy>
  <cp:lastPrinted>2025-02-12T14:05:06Z</cp:lastPrinted>
  <dcterms:created xsi:type="dcterms:W3CDTF">2024-12-31T14:33:23Z</dcterms:created>
  <dcterms:modified xsi:type="dcterms:W3CDTF">2025-02-12T14:12:30Z</dcterms:modified>
</cp:coreProperties>
</file>